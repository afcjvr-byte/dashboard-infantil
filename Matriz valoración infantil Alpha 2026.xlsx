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OneDrive - Agencia Nacional De Tierras - ANT\Escritorio\"/>
    </mc:Choice>
  </mc:AlternateContent>
  <xr:revisionPtr revIDLastSave="0" documentId="13_ncr:1_{51F21C0D-7876-403D-ADCF-AF232A408C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oración infantil" sheetId="1" r:id="rId1"/>
  </sheets>
  <definedNames>
    <definedName name="_xlnm._FilterDatabase" localSheetId="0" hidden="1">'Valoración infantil'!$A$1:$AE$101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" i="1" l="1"/>
  <c r="T60" i="1"/>
  <c r="T59" i="1"/>
  <c r="T58" i="1"/>
  <c r="T57" i="1"/>
  <c r="T56" i="1"/>
  <c r="T55" i="1"/>
  <c r="T54" i="1"/>
  <c r="T53" i="1"/>
  <c r="V53" i="1" s="1"/>
  <c r="Y53" i="1" s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V34" i="1"/>
  <c r="Y34" i="1" s="1"/>
  <c r="T33" i="1"/>
  <c r="T32" i="1"/>
  <c r="T31" i="1"/>
  <c r="T30" i="1"/>
  <c r="T29" i="1"/>
  <c r="T28" i="1"/>
  <c r="T27" i="1"/>
  <c r="T26" i="1"/>
  <c r="T25" i="1"/>
  <c r="T24" i="1"/>
  <c r="T23" i="1"/>
  <c r="T22" i="1"/>
  <c r="V22" i="1"/>
  <c r="Y22" i="1" s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3" i="1"/>
  <c r="T2" i="1"/>
  <c r="AD101" i="1"/>
  <c r="AC101" i="1"/>
  <c r="AB101" i="1"/>
  <c r="AA101" i="1"/>
  <c r="X101" i="1"/>
  <c r="W101" i="1"/>
  <c r="Z101" i="1" s="1"/>
  <c r="U101" i="1"/>
  <c r="T101" i="1"/>
  <c r="V101" i="1" s="1"/>
  <c r="Y101" i="1" s="1"/>
  <c r="AD100" i="1"/>
  <c r="AC100" i="1"/>
  <c r="AB100" i="1"/>
  <c r="AA100" i="1"/>
  <c r="Z100" i="1"/>
  <c r="X100" i="1"/>
  <c r="W100" i="1"/>
  <c r="U100" i="1"/>
  <c r="T100" i="1"/>
  <c r="AD99" i="1"/>
  <c r="AC99" i="1"/>
  <c r="AB99" i="1"/>
  <c r="AA99" i="1"/>
  <c r="X99" i="1"/>
  <c r="W99" i="1"/>
  <c r="Z99" i="1" s="1"/>
  <c r="U99" i="1"/>
  <c r="T99" i="1"/>
  <c r="AD98" i="1"/>
  <c r="AC98" i="1"/>
  <c r="AB98" i="1"/>
  <c r="AA98" i="1"/>
  <c r="X98" i="1"/>
  <c r="W98" i="1"/>
  <c r="Z98" i="1" s="1"/>
  <c r="U98" i="1"/>
  <c r="T98" i="1"/>
  <c r="AD97" i="1"/>
  <c r="AC97" i="1"/>
  <c r="AB97" i="1"/>
  <c r="AA97" i="1"/>
  <c r="X97" i="1"/>
  <c r="W97" i="1"/>
  <c r="Z97" i="1" s="1"/>
  <c r="U97" i="1"/>
  <c r="T97" i="1"/>
  <c r="AD96" i="1"/>
  <c r="AC96" i="1"/>
  <c r="AB96" i="1"/>
  <c r="AA96" i="1"/>
  <c r="X96" i="1"/>
  <c r="W96" i="1"/>
  <c r="Z96" i="1" s="1"/>
  <c r="U96" i="1"/>
  <c r="T96" i="1"/>
  <c r="V96" i="1" s="1"/>
  <c r="Y96" i="1" s="1"/>
  <c r="AD95" i="1"/>
  <c r="AC95" i="1"/>
  <c r="AB95" i="1"/>
  <c r="AA95" i="1"/>
  <c r="X95" i="1"/>
  <c r="W95" i="1"/>
  <c r="Z95" i="1" s="1"/>
  <c r="U95" i="1"/>
  <c r="T95" i="1"/>
  <c r="V95" i="1" s="1"/>
  <c r="Y95" i="1" s="1"/>
  <c r="AD94" i="1"/>
  <c r="AC94" i="1"/>
  <c r="AB94" i="1"/>
  <c r="AA94" i="1"/>
  <c r="Z94" i="1"/>
  <c r="X94" i="1"/>
  <c r="W94" i="1"/>
  <c r="U94" i="1"/>
  <c r="T94" i="1"/>
  <c r="AD93" i="1"/>
  <c r="AC93" i="1"/>
  <c r="AB93" i="1"/>
  <c r="AA93" i="1"/>
  <c r="X93" i="1"/>
  <c r="W93" i="1"/>
  <c r="Z93" i="1" s="1"/>
  <c r="U93" i="1"/>
  <c r="T93" i="1"/>
  <c r="AD92" i="1"/>
  <c r="AC92" i="1"/>
  <c r="AB92" i="1"/>
  <c r="AA92" i="1"/>
  <c r="X92" i="1"/>
  <c r="W92" i="1"/>
  <c r="Z92" i="1" s="1"/>
  <c r="U92" i="1"/>
  <c r="T92" i="1"/>
  <c r="V92" i="1" s="1"/>
  <c r="Y92" i="1" s="1"/>
  <c r="AD91" i="1"/>
  <c r="AC91" i="1"/>
  <c r="AB91" i="1"/>
  <c r="AA91" i="1"/>
  <c r="X91" i="1"/>
  <c r="W91" i="1"/>
  <c r="Z91" i="1" s="1"/>
  <c r="U91" i="1"/>
  <c r="T91" i="1"/>
  <c r="AD90" i="1"/>
  <c r="AC90" i="1"/>
  <c r="AB90" i="1"/>
  <c r="AA90" i="1"/>
  <c r="X90" i="1"/>
  <c r="W90" i="1"/>
  <c r="Z90" i="1" s="1"/>
  <c r="U90" i="1"/>
  <c r="T90" i="1"/>
  <c r="V90" i="1" s="1"/>
  <c r="Y90" i="1" s="1"/>
  <c r="AD89" i="1"/>
  <c r="AC89" i="1"/>
  <c r="AB89" i="1"/>
  <c r="AA89" i="1"/>
  <c r="X89" i="1"/>
  <c r="W89" i="1"/>
  <c r="Z89" i="1" s="1"/>
  <c r="U89" i="1"/>
  <c r="T89" i="1"/>
  <c r="V89" i="1" s="1"/>
  <c r="Y89" i="1" s="1"/>
  <c r="AD88" i="1"/>
  <c r="AC88" i="1"/>
  <c r="AB88" i="1"/>
  <c r="AA88" i="1"/>
  <c r="Z88" i="1"/>
  <c r="X88" i="1"/>
  <c r="W88" i="1"/>
  <c r="U88" i="1"/>
  <c r="T88" i="1"/>
  <c r="V88" i="1" s="1"/>
  <c r="Y88" i="1" s="1"/>
  <c r="AD87" i="1"/>
  <c r="AC87" i="1"/>
  <c r="AB87" i="1"/>
  <c r="AA87" i="1"/>
  <c r="X87" i="1"/>
  <c r="W87" i="1"/>
  <c r="Z87" i="1" s="1"/>
  <c r="U87" i="1"/>
  <c r="T87" i="1"/>
  <c r="V87" i="1" s="1"/>
  <c r="Y87" i="1" s="1"/>
  <c r="AD86" i="1"/>
  <c r="AC86" i="1"/>
  <c r="AB86" i="1"/>
  <c r="AA86" i="1"/>
  <c r="X86" i="1"/>
  <c r="W86" i="1"/>
  <c r="Z86" i="1" s="1"/>
  <c r="U86" i="1"/>
  <c r="T86" i="1"/>
  <c r="V86" i="1" s="1"/>
  <c r="Y86" i="1" s="1"/>
  <c r="AD85" i="1"/>
  <c r="AC85" i="1"/>
  <c r="AB85" i="1"/>
  <c r="AA85" i="1"/>
  <c r="X85" i="1"/>
  <c r="W85" i="1"/>
  <c r="Z85" i="1" s="1"/>
  <c r="U85" i="1"/>
  <c r="T85" i="1"/>
  <c r="AD84" i="1"/>
  <c r="AC84" i="1"/>
  <c r="AB84" i="1"/>
  <c r="AA84" i="1"/>
  <c r="Z84" i="1"/>
  <c r="X84" i="1"/>
  <c r="W84" i="1"/>
  <c r="U84" i="1"/>
  <c r="T84" i="1"/>
  <c r="AD83" i="1"/>
  <c r="AC83" i="1"/>
  <c r="AB83" i="1"/>
  <c r="AA83" i="1"/>
  <c r="X83" i="1"/>
  <c r="W83" i="1"/>
  <c r="Z83" i="1" s="1"/>
  <c r="U83" i="1"/>
  <c r="V83" i="1" s="1"/>
  <c r="Y83" i="1" s="1"/>
  <c r="T83" i="1"/>
  <c r="AD82" i="1"/>
  <c r="AC82" i="1"/>
  <c r="AB82" i="1"/>
  <c r="AA82" i="1"/>
  <c r="X82" i="1"/>
  <c r="W82" i="1"/>
  <c r="Z82" i="1" s="1"/>
  <c r="U82" i="1"/>
  <c r="T82" i="1"/>
  <c r="AD81" i="1"/>
  <c r="AC81" i="1"/>
  <c r="AB81" i="1"/>
  <c r="AA81" i="1"/>
  <c r="X81" i="1"/>
  <c r="W81" i="1"/>
  <c r="Z81" i="1" s="1"/>
  <c r="U81" i="1"/>
  <c r="T81" i="1"/>
  <c r="AD80" i="1"/>
  <c r="AC80" i="1"/>
  <c r="AB80" i="1"/>
  <c r="AA80" i="1"/>
  <c r="X80" i="1"/>
  <c r="W80" i="1"/>
  <c r="Z80" i="1" s="1"/>
  <c r="U80" i="1"/>
  <c r="T80" i="1"/>
  <c r="V80" i="1" s="1"/>
  <c r="Y80" i="1" s="1"/>
  <c r="AD79" i="1"/>
  <c r="AC79" i="1"/>
  <c r="AB79" i="1"/>
  <c r="AA79" i="1"/>
  <c r="X79" i="1"/>
  <c r="W79" i="1"/>
  <c r="Z79" i="1" s="1"/>
  <c r="U79" i="1"/>
  <c r="T79" i="1"/>
  <c r="V79" i="1" s="1"/>
  <c r="Y79" i="1" s="1"/>
  <c r="AD78" i="1"/>
  <c r="AC78" i="1"/>
  <c r="AB78" i="1"/>
  <c r="AA78" i="1"/>
  <c r="Z78" i="1"/>
  <c r="X78" i="1"/>
  <c r="W78" i="1"/>
  <c r="U78" i="1"/>
  <c r="T78" i="1"/>
  <c r="AD77" i="1"/>
  <c r="AC77" i="1"/>
  <c r="AB77" i="1"/>
  <c r="AA77" i="1"/>
  <c r="X77" i="1"/>
  <c r="W77" i="1"/>
  <c r="Z77" i="1" s="1"/>
  <c r="U77" i="1"/>
  <c r="V77" i="1" s="1"/>
  <c r="Y77" i="1" s="1"/>
  <c r="T77" i="1"/>
  <c r="AD76" i="1"/>
  <c r="AC76" i="1"/>
  <c r="AB76" i="1"/>
  <c r="AA76" i="1"/>
  <c r="X76" i="1"/>
  <c r="W76" i="1"/>
  <c r="Z76" i="1" s="1"/>
  <c r="U76" i="1"/>
  <c r="T76" i="1"/>
  <c r="V76" i="1" s="1"/>
  <c r="Y76" i="1" s="1"/>
  <c r="AD75" i="1"/>
  <c r="AC75" i="1"/>
  <c r="AB75" i="1"/>
  <c r="AA75" i="1"/>
  <c r="X75" i="1"/>
  <c r="W75" i="1"/>
  <c r="Z75" i="1" s="1"/>
  <c r="U75" i="1"/>
  <c r="T75" i="1"/>
  <c r="AD74" i="1"/>
  <c r="AC74" i="1"/>
  <c r="AB74" i="1"/>
  <c r="AA74" i="1"/>
  <c r="X74" i="1"/>
  <c r="W74" i="1"/>
  <c r="Z74" i="1" s="1"/>
  <c r="U74" i="1"/>
  <c r="T74" i="1"/>
  <c r="AD73" i="1"/>
  <c r="AC73" i="1"/>
  <c r="AB73" i="1"/>
  <c r="AA73" i="1"/>
  <c r="X73" i="1"/>
  <c r="W73" i="1"/>
  <c r="Z73" i="1" s="1"/>
  <c r="U73" i="1"/>
  <c r="T73" i="1"/>
  <c r="AD72" i="1"/>
  <c r="AC72" i="1"/>
  <c r="AB72" i="1"/>
  <c r="AA72" i="1"/>
  <c r="X72" i="1"/>
  <c r="W72" i="1"/>
  <c r="Z72" i="1" s="1"/>
  <c r="U72" i="1"/>
  <c r="T72" i="1"/>
  <c r="V72" i="1" s="1"/>
  <c r="Y72" i="1" s="1"/>
  <c r="AD71" i="1"/>
  <c r="AC71" i="1"/>
  <c r="AB71" i="1"/>
  <c r="AA71" i="1"/>
  <c r="X71" i="1"/>
  <c r="W71" i="1"/>
  <c r="Z71" i="1" s="1"/>
  <c r="U71" i="1"/>
  <c r="T71" i="1"/>
  <c r="V71" i="1" s="1"/>
  <c r="Y71" i="1" s="1"/>
  <c r="AD70" i="1"/>
  <c r="AC70" i="1"/>
  <c r="AB70" i="1"/>
  <c r="AA70" i="1"/>
  <c r="Z70" i="1"/>
  <c r="X70" i="1"/>
  <c r="W70" i="1"/>
  <c r="U70" i="1"/>
  <c r="T70" i="1"/>
  <c r="AD69" i="1"/>
  <c r="AC69" i="1"/>
  <c r="AB69" i="1"/>
  <c r="AA69" i="1"/>
  <c r="X69" i="1"/>
  <c r="W69" i="1"/>
  <c r="Z69" i="1" s="1"/>
  <c r="U69" i="1"/>
  <c r="T69" i="1"/>
  <c r="AD68" i="1"/>
  <c r="AC68" i="1"/>
  <c r="AB68" i="1"/>
  <c r="AA68" i="1"/>
  <c r="X68" i="1"/>
  <c r="W68" i="1"/>
  <c r="Z68" i="1" s="1"/>
  <c r="U68" i="1"/>
  <c r="T68" i="1"/>
  <c r="V68" i="1" s="1"/>
  <c r="Y68" i="1" s="1"/>
  <c r="AD67" i="1"/>
  <c r="AC67" i="1"/>
  <c r="AB67" i="1"/>
  <c r="AA67" i="1"/>
  <c r="X67" i="1"/>
  <c r="W67" i="1"/>
  <c r="Z67" i="1" s="1"/>
  <c r="U67" i="1"/>
  <c r="T67" i="1"/>
  <c r="AD66" i="1"/>
  <c r="AC66" i="1"/>
  <c r="AB66" i="1"/>
  <c r="AA66" i="1"/>
  <c r="Z66" i="1"/>
  <c r="X66" i="1"/>
  <c r="W66" i="1"/>
  <c r="U66" i="1"/>
  <c r="T66" i="1"/>
  <c r="V66" i="1" s="1"/>
  <c r="Y66" i="1" s="1"/>
  <c r="AD65" i="1"/>
  <c r="AC65" i="1"/>
  <c r="AB65" i="1"/>
  <c r="AA65" i="1"/>
  <c r="X65" i="1"/>
  <c r="W65" i="1"/>
  <c r="Z65" i="1" s="1"/>
  <c r="U65" i="1"/>
  <c r="T65" i="1"/>
  <c r="AD64" i="1"/>
  <c r="AC64" i="1"/>
  <c r="AB64" i="1"/>
  <c r="AA64" i="1"/>
  <c r="X64" i="1"/>
  <c r="W64" i="1"/>
  <c r="Z64" i="1" s="1"/>
  <c r="U64" i="1"/>
  <c r="T64" i="1"/>
  <c r="AD63" i="1"/>
  <c r="AC63" i="1"/>
  <c r="AB63" i="1"/>
  <c r="AA63" i="1"/>
  <c r="X63" i="1"/>
  <c r="W63" i="1"/>
  <c r="Z63" i="1" s="1"/>
  <c r="U63" i="1"/>
  <c r="T63" i="1"/>
  <c r="AD62" i="1"/>
  <c r="AC62" i="1"/>
  <c r="AB62" i="1"/>
  <c r="AA62" i="1"/>
  <c r="X62" i="1"/>
  <c r="W62" i="1"/>
  <c r="Z62" i="1" s="1"/>
  <c r="U62" i="1"/>
  <c r="T62" i="1"/>
  <c r="V62" i="1" s="1"/>
  <c r="Y62" i="1" s="1"/>
  <c r="AD61" i="1"/>
  <c r="AC61" i="1"/>
  <c r="AB61" i="1"/>
  <c r="AA61" i="1"/>
  <c r="X61" i="1"/>
  <c r="W61" i="1"/>
  <c r="Z61" i="1" s="1"/>
  <c r="U61" i="1"/>
  <c r="V61" i="1" s="1"/>
  <c r="Y61" i="1" s="1"/>
  <c r="AD60" i="1"/>
  <c r="AC60" i="1"/>
  <c r="AB60" i="1"/>
  <c r="AA60" i="1"/>
  <c r="X60" i="1"/>
  <c r="W60" i="1"/>
  <c r="Z60" i="1" s="1"/>
  <c r="U60" i="1"/>
  <c r="AD59" i="1"/>
  <c r="AC59" i="1"/>
  <c r="AB59" i="1"/>
  <c r="AA59" i="1"/>
  <c r="X59" i="1"/>
  <c r="W59" i="1"/>
  <c r="Z59" i="1" s="1"/>
  <c r="U59" i="1"/>
  <c r="AD58" i="1"/>
  <c r="AC58" i="1"/>
  <c r="AB58" i="1"/>
  <c r="AA58" i="1"/>
  <c r="X58" i="1"/>
  <c r="W58" i="1"/>
  <c r="Z58" i="1" s="1"/>
  <c r="U58" i="1"/>
  <c r="V58" i="1" s="1"/>
  <c r="Y58" i="1" s="1"/>
  <c r="AD57" i="1"/>
  <c r="AC57" i="1"/>
  <c r="AB57" i="1"/>
  <c r="AA57" i="1"/>
  <c r="X57" i="1"/>
  <c r="W57" i="1"/>
  <c r="Z57" i="1" s="1"/>
  <c r="U57" i="1"/>
  <c r="AD56" i="1"/>
  <c r="AC56" i="1"/>
  <c r="AB56" i="1"/>
  <c r="AA56" i="1"/>
  <c r="X56" i="1"/>
  <c r="W56" i="1"/>
  <c r="Z56" i="1" s="1"/>
  <c r="U56" i="1"/>
  <c r="V56" i="1" s="1"/>
  <c r="Y56" i="1" s="1"/>
  <c r="AD55" i="1"/>
  <c r="AC55" i="1"/>
  <c r="AB55" i="1"/>
  <c r="AA55" i="1"/>
  <c r="X55" i="1"/>
  <c r="W55" i="1"/>
  <c r="Z55" i="1" s="1"/>
  <c r="U55" i="1"/>
  <c r="V55" i="1"/>
  <c r="Y55" i="1" s="1"/>
  <c r="AD54" i="1"/>
  <c r="AC54" i="1"/>
  <c r="AB54" i="1"/>
  <c r="AA54" i="1"/>
  <c r="X54" i="1"/>
  <c r="W54" i="1"/>
  <c r="Z54" i="1" s="1"/>
  <c r="U54" i="1"/>
  <c r="V54" i="1" s="1"/>
  <c r="Y54" i="1" s="1"/>
  <c r="AD53" i="1"/>
  <c r="AC53" i="1"/>
  <c r="AB53" i="1"/>
  <c r="AA53" i="1"/>
  <c r="X53" i="1"/>
  <c r="W53" i="1"/>
  <c r="Z53" i="1" s="1"/>
  <c r="U53" i="1"/>
  <c r="AD52" i="1"/>
  <c r="AC52" i="1"/>
  <c r="AB52" i="1"/>
  <c r="AA52" i="1"/>
  <c r="X52" i="1"/>
  <c r="W52" i="1"/>
  <c r="Z52" i="1" s="1"/>
  <c r="U52" i="1"/>
  <c r="AD51" i="1"/>
  <c r="AC51" i="1"/>
  <c r="AB51" i="1"/>
  <c r="AA51" i="1"/>
  <c r="X51" i="1"/>
  <c r="W51" i="1"/>
  <c r="Z51" i="1" s="1"/>
  <c r="U51" i="1"/>
  <c r="AD50" i="1"/>
  <c r="AC50" i="1"/>
  <c r="AB50" i="1"/>
  <c r="AA50" i="1"/>
  <c r="X50" i="1"/>
  <c r="W50" i="1"/>
  <c r="Z50" i="1" s="1"/>
  <c r="U50" i="1"/>
  <c r="V50" i="1" s="1"/>
  <c r="Y50" i="1" s="1"/>
  <c r="AD49" i="1"/>
  <c r="AC49" i="1"/>
  <c r="AB49" i="1"/>
  <c r="AA49" i="1"/>
  <c r="X49" i="1"/>
  <c r="W49" i="1"/>
  <c r="Z49" i="1" s="1"/>
  <c r="U49" i="1"/>
  <c r="AD48" i="1"/>
  <c r="AC48" i="1"/>
  <c r="AB48" i="1"/>
  <c r="AA48" i="1"/>
  <c r="X48" i="1"/>
  <c r="W48" i="1"/>
  <c r="Z48" i="1" s="1"/>
  <c r="U48" i="1"/>
  <c r="V48" i="1" s="1"/>
  <c r="Y48" i="1" s="1"/>
  <c r="AD47" i="1"/>
  <c r="AC47" i="1"/>
  <c r="AB47" i="1"/>
  <c r="AA47" i="1"/>
  <c r="X47" i="1"/>
  <c r="W47" i="1"/>
  <c r="Z47" i="1" s="1"/>
  <c r="U47" i="1"/>
  <c r="V47" i="1"/>
  <c r="Y47" i="1" s="1"/>
  <c r="AD46" i="1"/>
  <c r="AC46" i="1"/>
  <c r="AB46" i="1"/>
  <c r="AA46" i="1"/>
  <c r="X46" i="1"/>
  <c r="W46" i="1"/>
  <c r="Z46" i="1" s="1"/>
  <c r="U46" i="1"/>
  <c r="AD45" i="1"/>
  <c r="AC45" i="1"/>
  <c r="AB45" i="1"/>
  <c r="AA45" i="1"/>
  <c r="X45" i="1"/>
  <c r="W45" i="1"/>
  <c r="Z45" i="1" s="1"/>
  <c r="U45" i="1"/>
  <c r="AD44" i="1"/>
  <c r="AC44" i="1"/>
  <c r="AB44" i="1"/>
  <c r="AA44" i="1"/>
  <c r="X44" i="1"/>
  <c r="W44" i="1"/>
  <c r="Z44" i="1" s="1"/>
  <c r="U44" i="1"/>
  <c r="AD43" i="1"/>
  <c r="AC43" i="1"/>
  <c r="AB43" i="1"/>
  <c r="AA43" i="1"/>
  <c r="X43" i="1"/>
  <c r="W43" i="1"/>
  <c r="Z43" i="1" s="1"/>
  <c r="U43" i="1"/>
  <c r="AD42" i="1"/>
  <c r="AC42" i="1"/>
  <c r="AB42" i="1"/>
  <c r="AA42" i="1"/>
  <c r="X42" i="1"/>
  <c r="W42" i="1"/>
  <c r="Z42" i="1" s="1"/>
  <c r="U42" i="1"/>
  <c r="AD41" i="1"/>
  <c r="AC41" i="1"/>
  <c r="AB41" i="1"/>
  <c r="AA41" i="1"/>
  <c r="X41" i="1"/>
  <c r="W41" i="1"/>
  <c r="Z41" i="1" s="1"/>
  <c r="U41" i="1"/>
  <c r="AD40" i="1"/>
  <c r="AC40" i="1"/>
  <c r="AB40" i="1"/>
  <c r="AA40" i="1"/>
  <c r="X40" i="1"/>
  <c r="W40" i="1"/>
  <c r="Z40" i="1" s="1"/>
  <c r="U40" i="1"/>
  <c r="AD39" i="1"/>
  <c r="AC39" i="1"/>
  <c r="AB39" i="1"/>
  <c r="AA39" i="1"/>
  <c r="X39" i="1"/>
  <c r="W39" i="1"/>
  <c r="Z39" i="1" s="1"/>
  <c r="U39" i="1"/>
  <c r="AD38" i="1"/>
  <c r="AC38" i="1"/>
  <c r="AB38" i="1"/>
  <c r="AA38" i="1"/>
  <c r="X38" i="1"/>
  <c r="W38" i="1"/>
  <c r="Z38" i="1" s="1"/>
  <c r="U38" i="1"/>
  <c r="AD37" i="1"/>
  <c r="AC37" i="1"/>
  <c r="AB37" i="1"/>
  <c r="AA37" i="1"/>
  <c r="X37" i="1"/>
  <c r="W37" i="1"/>
  <c r="Z37" i="1" s="1"/>
  <c r="U37" i="1"/>
  <c r="AD36" i="1"/>
  <c r="AC36" i="1"/>
  <c r="AB36" i="1"/>
  <c r="AA36" i="1"/>
  <c r="X36" i="1"/>
  <c r="W36" i="1"/>
  <c r="Z36" i="1" s="1"/>
  <c r="U36" i="1"/>
  <c r="AD35" i="1"/>
  <c r="AC35" i="1"/>
  <c r="AB35" i="1"/>
  <c r="AA35" i="1"/>
  <c r="X35" i="1"/>
  <c r="W35" i="1"/>
  <c r="Z35" i="1" s="1"/>
  <c r="U35" i="1"/>
  <c r="AD34" i="1"/>
  <c r="AC34" i="1"/>
  <c r="AB34" i="1"/>
  <c r="AA34" i="1"/>
  <c r="X34" i="1"/>
  <c r="W34" i="1"/>
  <c r="Z34" i="1" s="1"/>
  <c r="U34" i="1"/>
  <c r="AD33" i="1"/>
  <c r="AC33" i="1"/>
  <c r="AB33" i="1"/>
  <c r="AA33" i="1"/>
  <c r="X33" i="1"/>
  <c r="W33" i="1"/>
  <c r="Z33" i="1" s="1"/>
  <c r="U33" i="1"/>
  <c r="AD32" i="1"/>
  <c r="AC32" i="1"/>
  <c r="AB32" i="1"/>
  <c r="AA32" i="1"/>
  <c r="X32" i="1"/>
  <c r="W32" i="1"/>
  <c r="Z32" i="1" s="1"/>
  <c r="U32" i="1"/>
  <c r="AD31" i="1"/>
  <c r="AC31" i="1"/>
  <c r="AB31" i="1"/>
  <c r="AA31" i="1"/>
  <c r="X31" i="1"/>
  <c r="W31" i="1"/>
  <c r="Z31" i="1" s="1"/>
  <c r="U31" i="1"/>
  <c r="AD30" i="1"/>
  <c r="AC30" i="1"/>
  <c r="AB30" i="1"/>
  <c r="AA30" i="1"/>
  <c r="X30" i="1"/>
  <c r="W30" i="1"/>
  <c r="Z30" i="1" s="1"/>
  <c r="U30" i="1"/>
  <c r="V30" i="1" s="1"/>
  <c r="Y30" i="1" s="1"/>
  <c r="AD29" i="1"/>
  <c r="AC29" i="1"/>
  <c r="AB29" i="1"/>
  <c r="AA29" i="1"/>
  <c r="X29" i="1"/>
  <c r="W29" i="1"/>
  <c r="Z29" i="1" s="1"/>
  <c r="U29" i="1"/>
  <c r="V29" i="1" s="1"/>
  <c r="Y29" i="1" s="1"/>
  <c r="AD28" i="1"/>
  <c r="AC28" i="1"/>
  <c r="AB28" i="1"/>
  <c r="AA28" i="1"/>
  <c r="X28" i="1"/>
  <c r="W28" i="1"/>
  <c r="Z28" i="1" s="1"/>
  <c r="U28" i="1"/>
  <c r="V28" i="1" s="1"/>
  <c r="Y28" i="1" s="1"/>
  <c r="AD27" i="1"/>
  <c r="AC27" i="1"/>
  <c r="AB27" i="1"/>
  <c r="AA27" i="1"/>
  <c r="X27" i="1"/>
  <c r="W27" i="1"/>
  <c r="Z27" i="1" s="1"/>
  <c r="U27" i="1"/>
  <c r="AD26" i="1"/>
  <c r="AC26" i="1"/>
  <c r="AB26" i="1"/>
  <c r="AA26" i="1"/>
  <c r="X26" i="1"/>
  <c r="W26" i="1"/>
  <c r="Z26" i="1" s="1"/>
  <c r="U26" i="1"/>
  <c r="V26" i="1" s="1"/>
  <c r="Y26" i="1" s="1"/>
  <c r="AD25" i="1"/>
  <c r="AC25" i="1"/>
  <c r="AB25" i="1"/>
  <c r="AA25" i="1"/>
  <c r="X25" i="1"/>
  <c r="W25" i="1"/>
  <c r="Z25" i="1" s="1"/>
  <c r="U25" i="1"/>
  <c r="AD24" i="1"/>
  <c r="AC24" i="1"/>
  <c r="AB24" i="1"/>
  <c r="AA24" i="1"/>
  <c r="X24" i="1"/>
  <c r="W24" i="1"/>
  <c r="Z24" i="1" s="1"/>
  <c r="U24" i="1"/>
  <c r="V24" i="1"/>
  <c r="Y24" i="1" s="1"/>
  <c r="AD23" i="1"/>
  <c r="AC23" i="1"/>
  <c r="AB23" i="1"/>
  <c r="AA23" i="1"/>
  <c r="X23" i="1"/>
  <c r="W23" i="1"/>
  <c r="Z23" i="1" s="1"/>
  <c r="U23" i="1"/>
  <c r="V23" i="1" s="1"/>
  <c r="Y23" i="1" s="1"/>
  <c r="AD22" i="1"/>
  <c r="AC22" i="1"/>
  <c r="AB22" i="1"/>
  <c r="AA22" i="1"/>
  <c r="X22" i="1"/>
  <c r="W22" i="1"/>
  <c r="Z22" i="1" s="1"/>
  <c r="U22" i="1"/>
  <c r="AD21" i="1"/>
  <c r="AC21" i="1"/>
  <c r="AB21" i="1"/>
  <c r="AA21" i="1"/>
  <c r="X21" i="1"/>
  <c r="W21" i="1"/>
  <c r="Z21" i="1" s="1"/>
  <c r="U21" i="1"/>
  <c r="AD20" i="1"/>
  <c r="AC20" i="1"/>
  <c r="AB20" i="1"/>
  <c r="AA20" i="1"/>
  <c r="X20" i="1"/>
  <c r="W20" i="1"/>
  <c r="Z20" i="1" s="1"/>
  <c r="U20" i="1"/>
  <c r="AD19" i="1"/>
  <c r="AC19" i="1"/>
  <c r="AB19" i="1"/>
  <c r="AA19" i="1"/>
  <c r="X19" i="1"/>
  <c r="W19" i="1"/>
  <c r="Z19" i="1" s="1"/>
  <c r="U19" i="1"/>
  <c r="AD18" i="1"/>
  <c r="AC18" i="1"/>
  <c r="AB18" i="1"/>
  <c r="AA18" i="1"/>
  <c r="X18" i="1"/>
  <c r="W18" i="1"/>
  <c r="Z18" i="1" s="1"/>
  <c r="U18" i="1"/>
  <c r="AD17" i="1"/>
  <c r="AC17" i="1"/>
  <c r="AB17" i="1"/>
  <c r="AA17" i="1"/>
  <c r="X17" i="1"/>
  <c r="W17" i="1"/>
  <c r="Z17" i="1" s="1"/>
  <c r="U17" i="1"/>
  <c r="AD16" i="1"/>
  <c r="AC16" i="1"/>
  <c r="AB16" i="1"/>
  <c r="AA16" i="1"/>
  <c r="X16" i="1"/>
  <c r="W16" i="1"/>
  <c r="Z16" i="1" s="1"/>
  <c r="U16" i="1"/>
  <c r="AD15" i="1"/>
  <c r="AC15" i="1"/>
  <c r="AB15" i="1"/>
  <c r="AA15" i="1"/>
  <c r="X15" i="1"/>
  <c r="W15" i="1"/>
  <c r="Z15" i="1" s="1"/>
  <c r="U15" i="1"/>
  <c r="V15" i="1"/>
  <c r="Y15" i="1" s="1"/>
  <c r="AD14" i="1"/>
  <c r="AC14" i="1"/>
  <c r="AB14" i="1"/>
  <c r="AA14" i="1"/>
  <c r="X14" i="1"/>
  <c r="W14" i="1"/>
  <c r="Z14" i="1" s="1"/>
  <c r="U14" i="1"/>
  <c r="AD13" i="1"/>
  <c r="AC13" i="1"/>
  <c r="AB13" i="1"/>
  <c r="AA13" i="1"/>
  <c r="X13" i="1"/>
  <c r="W13" i="1"/>
  <c r="Z13" i="1" s="1"/>
  <c r="U13" i="1"/>
  <c r="AD12" i="1"/>
  <c r="AC12" i="1"/>
  <c r="AB12" i="1"/>
  <c r="AA12" i="1"/>
  <c r="X12" i="1"/>
  <c r="W12" i="1"/>
  <c r="Z12" i="1" s="1"/>
  <c r="U12" i="1"/>
  <c r="AD11" i="1"/>
  <c r="AC11" i="1"/>
  <c r="AB11" i="1"/>
  <c r="AA11" i="1"/>
  <c r="X11" i="1"/>
  <c r="W11" i="1"/>
  <c r="Z11" i="1" s="1"/>
  <c r="U11" i="1"/>
  <c r="AD10" i="1"/>
  <c r="AC10" i="1"/>
  <c r="AB10" i="1"/>
  <c r="AA10" i="1"/>
  <c r="X10" i="1"/>
  <c r="W10" i="1"/>
  <c r="Z10" i="1" s="1"/>
  <c r="U10" i="1"/>
  <c r="AD9" i="1"/>
  <c r="AC9" i="1"/>
  <c r="AB9" i="1"/>
  <c r="AA9" i="1"/>
  <c r="X9" i="1"/>
  <c r="W9" i="1"/>
  <c r="Z9" i="1" s="1"/>
  <c r="U9" i="1"/>
  <c r="AD8" i="1"/>
  <c r="AC8" i="1"/>
  <c r="AB8" i="1"/>
  <c r="AA8" i="1"/>
  <c r="X8" i="1"/>
  <c r="W8" i="1"/>
  <c r="Z8" i="1" s="1"/>
  <c r="U8" i="1"/>
  <c r="AD7" i="1"/>
  <c r="AC7" i="1"/>
  <c r="AB7" i="1"/>
  <c r="AA7" i="1"/>
  <c r="X7" i="1"/>
  <c r="W7" i="1"/>
  <c r="Z7" i="1" s="1"/>
  <c r="U7" i="1"/>
  <c r="AD6" i="1"/>
  <c r="AC6" i="1"/>
  <c r="AB6" i="1"/>
  <c r="AA6" i="1"/>
  <c r="X6" i="1"/>
  <c r="W6" i="1"/>
  <c r="Z6" i="1" s="1"/>
  <c r="U6" i="1"/>
  <c r="AD5" i="1"/>
  <c r="AC5" i="1"/>
  <c r="AB5" i="1"/>
  <c r="AA5" i="1"/>
  <c r="X5" i="1"/>
  <c r="W5" i="1"/>
  <c r="Z5" i="1" s="1"/>
  <c r="U5" i="1"/>
  <c r="AD4" i="1"/>
  <c r="AC4" i="1"/>
  <c r="AB4" i="1"/>
  <c r="AA4" i="1"/>
  <c r="X4" i="1"/>
  <c r="W4" i="1"/>
  <c r="Z4" i="1" s="1"/>
  <c r="U4" i="1"/>
  <c r="T4" i="1"/>
  <c r="AD3" i="1"/>
  <c r="AC3" i="1"/>
  <c r="AB3" i="1"/>
  <c r="AA3" i="1"/>
  <c r="X3" i="1"/>
  <c r="W3" i="1"/>
  <c r="Z3" i="1" s="1"/>
  <c r="U3" i="1"/>
  <c r="AD2" i="1"/>
  <c r="AC2" i="1"/>
  <c r="AB2" i="1"/>
  <c r="AA2" i="1"/>
  <c r="X2" i="1"/>
  <c r="W2" i="1"/>
  <c r="Z2" i="1" s="1"/>
  <c r="U2" i="1"/>
  <c r="V2" i="1"/>
  <c r="Y2" i="1" s="1"/>
  <c r="V45" i="1" l="1"/>
  <c r="Y45" i="1" s="1"/>
  <c r="V44" i="1"/>
  <c r="Y44" i="1" s="1"/>
  <c r="V40" i="1"/>
  <c r="Y40" i="1" s="1"/>
  <c r="V39" i="1"/>
  <c r="Y39" i="1" s="1"/>
  <c r="V36" i="1"/>
  <c r="Y36" i="1" s="1"/>
  <c r="V18" i="1"/>
  <c r="Y18" i="1" s="1"/>
  <c r="V16" i="1"/>
  <c r="Y16" i="1" s="1"/>
  <c r="V10" i="1"/>
  <c r="Y10" i="1" s="1"/>
  <c r="V9" i="1"/>
  <c r="Y9" i="1" s="1"/>
  <c r="V4" i="1"/>
  <c r="Y4" i="1" s="1"/>
  <c r="V7" i="1"/>
  <c r="Y7" i="1" s="1"/>
  <c r="V8" i="1"/>
  <c r="Y8" i="1" s="1"/>
  <c r="V12" i="1"/>
  <c r="Y12" i="1" s="1"/>
  <c r="V64" i="1"/>
  <c r="Y64" i="1" s="1"/>
  <c r="V51" i="1"/>
  <c r="Y51" i="1" s="1"/>
  <c r="V69" i="1"/>
  <c r="Y69" i="1" s="1"/>
  <c r="V32" i="1"/>
  <c r="Y32" i="1" s="1"/>
  <c r="V74" i="1"/>
  <c r="Y74" i="1" s="1"/>
  <c r="V93" i="1"/>
  <c r="Y93" i="1" s="1"/>
  <c r="V94" i="1"/>
  <c r="Y94" i="1" s="1"/>
  <c r="V19" i="1"/>
  <c r="Y19" i="1" s="1"/>
  <c r="V37" i="1"/>
  <c r="Y37" i="1" s="1"/>
  <c r="V41" i="1"/>
  <c r="Y41" i="1" s="1"/>
  <c r="V42" i="1"/>
  <c r="Y42" i="1" s="1"/>
  <c r="V60" i="1"/>
  <c r="Y60" i="1" s="1"/>
  <c r="V81" i="1"/>
  <c r="Y81" i="1" s="1"/>
  <c r="V82" i="1"/>
  <c r="Y82" i="1" s="1"/>
  <c r="V3" i="1"/>
  <c r="Y3" i="1" s="1"/>
  <c r="V5" i="1"/>
  <c r="Y5" i="1" s="1"/>
  <c r="V6" i="1"/>
  <c r="Y6" i="1" s="1"/>
  <c r="V25" i="1"/>
  <c r="Y25" i="1" s="1"/>
  <c r="V35" i="1"/>
  <c r="Y35" i="1" s="1"/>
  <c r="V38" i="1"/>
  <c r="Y38" i="1" s="1"/>
  <c r="V57" i="1"/>
  <c r="Y57" i="1" s="1"/>
  <c r="V67" i="1"/>
  <c r="Y67" i="1" s="1"/>
  <c r="V70" i="1"/>
  <c r="Y70" i="1" s="1"/>
  <c r="V17" i="1"/>
  <c r="Y17" i="1" s="1"/>
  <c r="V27" i="1"/>
  <c r="Y27" i="1" s="1"/>
  <c r="V49" i="1"/>
  <c r="Y49" i="1" s="1"/>
  <c r="V59" i="1"/>
  <c r="Y59" i="1" s="1"/>
  <c r="V91" i="1"/>
  <c r="Y91" i="1" s="1"/>
  <c r="V20" i="1"/>
  <c r="Y20" i="1" s="1"/>
  <c r="V31" i="1"/>
  <c r="Y31" i="1" s="1"/>
  <c r="V52" i="1"/>
  <c r="Y52" i="1" s="1"/>
  <c r="V63" i="1"/>
  <c r="Y63" i="1" s="1"/>
  <c r="V73" i="1"/>
  <c r="Y73" i="1" s="1"/>
  <c r="V84" i="1"/>
  <c r="Y84" i="1" s="1"/>
  <c r="V21" i="1"/>
  <c r="Y21" i="1" s="1"/>
  <c r="V85" i="1"/>
  <c r="Y85" i="1" s="1"/>
  <c r="V97" i="1"/>
  <c r="Y97" i="1" s="1"/>
  <c r="V98" i="1"/>
  <c r="Y98" i="1" s="1"/>
  <c r="V11" i="1"/>
  <c r="Y11" i="1" s="1"/>
  <c r="V13" i="1"/>
  <c r="Y13" i="1" s="1"/>
  <c r="V14" i="1"/>
  <c r="Y14" i="1" s="1"/>
  <c r="V33" i="1"/>
  <c r="Y33" i="1" s="1"/>
  <c r="V43" i="1"/>
  <c r="Y43" i="1" s="1"/>
  <c r="V46" i="1"/>
  <c r="Y46" i="1" s="1"/>
  <c r="V65" i="1"/>
  <c r="Y65" i="1" s="1"/>
  <c r="V75" i="1"/>
  <c r="Y75" i="1" s="1"/>
  <c r="V78" i="1"/>
  <c r="Y78" i="1" s="1"/>
  <c r="V99" i="1"/>
  <c r="Y99" i="1" s="1"/>
  <c r="V100" i="1"/>
  <c r="Y100" i="1" s="1"/>
</calcChain>
</file>

<file path=xl/sharedStrings.xml><?xml version="1.0" encoding="utf-8"?>
<sst xmlns="http://schemas.openxmlformats.org/spreadsheetml/2006/main" count="212" uniqueCount="98">
  <si>
    <t>Edad</t>
  </si>
  <si>
    <t>Género</t>
  </si>
  <si>
    <t>Comunidad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</si>
  <si>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</si>
  <si>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</si>
  <si>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</si>
  <si>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</si>
  <si>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</si>
  <si>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</si>
  <si>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</si>
  <si>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</si>
  <si>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</si>
  <si>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</si>
  <si>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D1</t>
  </si>
  <si>
    <t>D2</t>
  </si>
  <si>
    <t>D3</t>
  </si>
  <si>
    <t>D4</t>
  </si>
  <si>
    <t>D5</t>
  </si>
  <si>
    <t>TOTAL_AUTOESTIMA</t>
  </si>
  <si>
    <t>TOTAL_DEPORTIVO</t>
  </si>
  <si>
    <t>TOTAL_GENERAL</t>
  </si>
  <si>
    <t>PROM_AUTOESTIMA</t>
  </si>
  <si>
    <t>PROM_DEPORTIVO</t>
  </si>
  <si>
    <t>CLAS_AUTOESTIMA</t>
  </si>
  <si>
    <t>CLAS_DEPORTIVO</t>
  </si>
  <si>
    <t>F1_Emocionales</t>
  </si>
  <si>
    <t>F2_Contextuales</t>
  </si>
  <si>
    <t>F3_Vulnerabilidades</t>
  </si>
  <si>
    <t>F4_Recursos</t>
  </si>
  <si>
    <t>OBSERVACIONES</t>
  </si>
  <si>
    <t>Nombre</t>
  </si>
  <si>
    <t>Ana Sofía Arévalo Suaza</t>
  </si>
  <si>
    <t>Femenino</t>
  </si>
  <si>
    <t>Santa Rosa</t>
  </si>
  <si>
    <t>Gabriela Arevalo Suaza</t>
  </si>
  <si>
    <t>Vanessa García Osorio</t>
  </si>
  <si>
    <t>Masculino</t>
  </si>
  <si>
    <t>Erick Daniel Gonzalez</t>
  </si>
  <si>
    <t>Yeicon Henao</t>
  </si>
  <si>
    <t>Alan Vargas</t>
  </si>
  <si>
    <t>Nicolás Hernandez Buitrago</t>
  </si>
  <si>
    <t>Christopher Peña</t>
  </si>
  <si>
    <t>Samuel Alzate Vargas</t>
  </si>
  <si>
    <t>Matias Marin Gallego</t>
  </si>
  <si>
    <t>Jeycob García</t>
  </si>
  <si>
    <t>Simon Arenas Barrera</t>
  </si>
  <si>
    <t>Esteban Martinez Velez</t>
  </si>
  <si>
    <t>Owen Pelaez</t>
  </si>
  <si>
    <t>Belen de Umbria</t>
  </si>
  <si>
    <t>Antonella Granada</t>
  </si>
  <si>
    <t xml:space="preserve">Matias Granada </t>
  </si>
  <si>
    <t>Yulian Grajales</t>
  </si>
  <si>
    <t xml:space="preserve">Maximiliano Bolivar </t>
  </si>
  <si>
    <t>Alan Andres Bolivar</t>
  </si>
  <si>
    <t>Dylan Bolivar</t>
  </si>
  <si>
    <t>Tomas Corrales</t>
  </si>
  <si>
    <t>Emmanuel Muñoz</t>
  </si>
  <si>
    <t>Jhojane</t>
  </si>
  <si>
    <t>Gustavo Ramirez</t>
  </si>
  <si>
    <t>Brianna Henao</t>
  </si>
  <si>
    <t>Bryan Bañol</t>
  </si>
  <si>
    <t>Emmanuel Ramirez</t>
  </si>
  <si>
    <t>Matias</t>
  </si>
  <si>
    <t>Juan Felipe Taborda</t>
  </si>
  <si>
    <t>Victor Granados</t>
  </si>
  <si>
    <t>Deportista con 16 años, presenta discapacidad cognitiva.</t>
  </si>
  <si>
    <t>Dosquebradas</t>
  </si>
  <si>
    <t>Jacobo Campos Serna</t>
  </si>
  <si>
    <t>Miguel Angel Sepulveda Walteros</t>
  </si>
  <si>
    <t>Valentino Ossa Zuluaga</t>
  </si>
  <si>
    <t>Alejandro Ortiz</t>
  </si>
  <si>
    <t>Yeison Vivas</t>
  </si>
  <si>
    <t>Matias Santiago Segura</t>
  </si>
  <si>
    <t xml:space="preserve">Juan Esteba Guapacha </t>
  </si>
  <si>
    <t>Juan Camilo Segura</t>
  </si>
  <si>
    <t>Angel Noel Silva</t>
  </si>
  <si>
    <t>David Jose Moncada</t>
  </si>
  <si>
    <t>Samuel Acuña</t>
  </si>
  <si>
    <t>Juan Pablo Giraldo</t>
  </si>
  <si>
    <t>Miguel Angel Arce</t>
  </si>
  <si>
    <t>Nicolas Jimenez</t>
  </si>
  <si>
    <t>Andrew Ospina</t>
  </si>
  <si>
    <t>John Maycol Castillo</t>
  </si>
  <si>
    <t>Johan Andres Segura</t>
  </si>
  <si>
    <t>Liam Gabriel Bermudez</t>
  </si>
  <si>
    <t>Briaccys Sanchez</t>
  </si>
  <si>
    <t>Samara Jimenez</t>
  </si>
  <si>
    <t>Pereira Málaga</t>
  </si>
  <si>
    <t>Nicolas Henao</t>
  </si>
  <si>
    <t>Matias Hurtado</t>
  </si>
  <si>
    <t>Erick Mateo Moreno</t>
  </si>
  <si>
    <t>John Posada</t>
  </si>
  <si>
    <t>Jeison Marin Castaño</t>
  </si>
  <si>
    <t>Axel Mejia Gutierrez</t>
  </si>
  <si>
    <t>Liam Andres Mosquera</t>
  </si>
  <si>
    <t>Yostin Alexander Gonzalez</t>
  </si>
  <si>
    <t>Anthony Duque Peña</t>
  </si>
  <si>
    <t>Juan Jose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</si>
</sst>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0" fillId="0" borderId="2" xfId="0" applyBorder="1"/>
    <xf numFmtId="0" fontId="1" fillId="4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101"/>
  <sheetViews>
    <sheetView tabSelected="1" workbookViewId="0">
      <pane ySplit="1" topLeftCell="A2" activePane="bottomLeft" state="frozen"/>
      <selection activeCell="L1" sqref="L1"/>
      <selection pane="bottomLeft" activeCell="C10" sqref="C10"/>
    </sheetView>
  </sheetViews>
  <sheetFormatPr baseColWidth="10" defaultColWidth="9.140625" defaultRowHeight="15" x14ac:dyDescent="0.25"/>
  <cols>
    <col min="1" max="31" width="18" style="1" customWidth="1"/>
    <col min="32" max="32" width="9.140625" style="6"/>
    <col min="33" max="267" width="9.140625" style="8"/>
    <col min="268" max="16384" width="9.140625" style="1"/>
  </cols>
  <sheetData>
    <row r="1" spans="1:267" s="4" customFormat="1" x14ac:dyDescent="0.25">
      <c r="A1" s="4" t="s">
        <v>30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5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</row>
    <row r="2" spans="1:267" x14ac:dyDescent="0.25">
      <c r="A2" s="1" t="s">
        <v>31</v>
      </c>
      <c r="B2" s="1">
        <v>8</v>
      </c>
      <c r="C2" s="1" t="s">
        <v>32</v>
      </c>
      <c r="D2" s="1" t="s">
        <v>33</v>
      </c>
      <c r="E2" s="1">
        <v>3</v>
      </c>
      <c r="F2" s="1">
        <v>2</v>
      </c>
      <c r="G2" s="1">
        <v>3</v>
      </c>
      <c r="H2" s="1">
        <v>2</v>
      </c>
      <c r="I2" s="1">
        <v>2</v>
      </c>
      <c r="J2" s="1">
        <v>3</v>
      </c>
      <c r="K2" s="1">
        <v>2</v>
      </c>
      <c r="L2" s="1">
        <v>3</v>
      </c>
      <c r="M2" s="1">
        <v>3</v>
      </c>
      <c r="N2" s="1">
        <v>3</v>
      </c>
      <c r="O2" s="1">
        <v>2</v>
      </c>
      <c r="P2" s="1">
        <v>2</v>
      </c>
      <c r="Q2" s="1">
        <v>2</v>
      </c>
      <c r="R2" s="1">
        <v>2</v>
      </c>
      <c r="S2" s="1">
        <v>3</v>
      </c>
      <c r="T2" s="1">
        <f>SUM(E2:S2)</f>
        <v>37</v>
      </c>
      <c r="U2" s="1">
        <f t="shared" ref="U2:U33" si="0">SUM(O2:S2)</f>
        <v>11</v>
      </c>
      <c r="V2" s="1">
        <f t="shared" ref="V2:V33" si="1">T2+U2</f>
        <v>48</v>
      </c>
      <c r="W2" s="1">
        <f t="shared" ref="W2:W33" si="2">AVERAGE(E2:N2)</f>
        <v>2.6</v>
      </c>
      <c r="X2" s="1">
        <f t="shared" ref="X2:X33" si="3">AVERAGE(O2:S2)</f>
        <v>2.2000000000000002</v>
      </c>
      <c r="Y2" s="1" t="str">
        <f t="shared" ref="Y2:Y33" si="4">IF(V2&lt;=16,"Baja",IF(V2&lt;=23,"Media","Alta"))</f>
        <v>Alta</v>
      </c>
      <c r="Z2" s="1" t="str">
        <f t="shared" ref="Z2:Z33" si="5">IF(W2&lt;=8,"Baja",IF(W2&lt;=11,"Media","Alta"))</f>
        <v>Baja</v>
      </c>
      <c r="AA2" s="1">
        <f t="shared" ref="AA2:AA33" si="6">AVERAGE(K2,M2,Q2)</f>
        <v>2.3333333333333335</v>
      </c>
      <c r="AB2" s="1">
        <f t="shared" ref="AB2:AB33" si="7">AVERAGE(G2,H2,P2)</f>
        <v>2.3333333333333335</v>
      </c>
      <c r="AC2" s="1">
        <f t="shared" ref="AC2:AC33" si="8">3-AVERAGE(E2:N2,O2:S2)/3</f>
        <v>2.1777777777777776</v>
      </c>
      <c r="AD2" s="1">
        <f t="shared" ref="AD2:AD33" si="9">AVERAGE(F2,J2,N2,S2)</f>
        <v>2.75</v>
      </c>
    </row>
    <row r="3" spans="1:267" x14ac:dyDescent="0.25">
      <c r="A3" s="1" t="s">
        <v>34</v>
      </c>
      <c r="B3" s="1">
        <v>7</v>
      </c>
      <c r="C3" s="1" t="s">
        <v>32</v>
      </c>
      <c r="D3" s="1" t="s">
        <v>33</v>
      </c>
      <c r="E3" s="1">
        <v>3</v>
      </c>
      <c r="F3" s="1">
        <v>2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2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f>SUM(E3:S3)</f>
        <v>43</v>
      </c>
      <c r="U3" s="1">
        <f t="shared" si="0"/>
        <v>15</v>
      </c>
      <c r="V3" s="1">
        <f t="shared" si="1"/>
        <v>58</v>
      </c>
      <c r="W3" s="1">
        <f t="shared" si="2"/>
        <v>2.8</v>
      </c>
      <c r="X3" s="1">
        <f t="shared" si="3"/>
        <v>3</v>
      </c>
      <c r="Y3" s="1" t="str">
        <f t="shared" si="4"/>
        <v>Alta</v>
      </c>
      <c r="Z3" s="1" t="str">
        <f t="shared" si="5"/>
        <v>Baja</v>
      </c>
      <c r="AA3" s="1">
        <f t="shared" si="6"/>
        <v>3</v>
      </c>
      <c r="AB3" s="1">
        <f t="shared" si="7"/>
        <v>3</v>
      </c>
      <c r="AC3" s="1">
        <f t="shared" si="8"/>
        <v>2.0444444444444443</v>
      </c>
      <c r="AD3" s="1">
        <f t="shared" si="9"/>
        <v>2.75</v>
      </c>
    </row>
    <row r="4" spans="1:267" x14ac:dyDescent="0.25">
      <c r="A4" s="1" t="s">
        <v>35</v>
      </c>
      <c r="B4" s="2">
        <v>9</v>
      </c>
      <c r="C4" s="1" t="s">
        <v>32</v>
      </c>
      <c r="D4" s="1" t="s">
        <v>33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f t="shared" ref="T2:T33" si="10">SUM(E4:N4)</f>
        <v>30</v>
      </c>
      <c r="U4" s="1">
        <f t="shared" si="0"/>
        <v>15</v>
      </c>
      <c r="V4" s="1">
        <f t="shared" si="1"/>
        <v>45</v>
      </c>
      <c r="W4" s="1">
        <f t="shared" si="2"/>
        <v>3</v>
      </c>
      <c r="X4" s="1">
        <f t="shared" si="3"/>
        <v>3</v>
      </c>
      <c r="Y4" s="1" t="str">
        <f t="shared" si="4"/>
        <v>Alta</v>
      </c>
      <c r="Z4" s="1" t="str">
        <f t="shared" si="5"/>
        <v>Baja</v>
      </c>
      <c r="AA4" s="1">
        <f t="shared" si="6"/>
        <v>3</v>
      </c>
      <c r="AB4" s="1">
        <f t="shared" si="7"/>
        <v>3</v>
      </c>
      <c r="AC4" s="1">
        <f t="shared" si="8"/>
        <v>2</v>
      </c>
      <c r="AD4" s="1">
        <f t="shared" si="9"/>
        <v>3</v>
      </c>
    </row>
    <row r="5" spans="1:267" x14ac:dyDescent="0.25">
      <c r="A5" s="1" t="s">
        <v>96</v>
      </c>
      <c r="B5" s="3">
        <v>8</v>
      </c>
      <c r="C5" s="1" t="s">
        <v>36</v>
      </c>
      <c r="D5" s="1" t="s">
        <v>33</v>
      </c>
      <c r="E5" s="1">
        <v>3</v>
      </c>
      <c r="F5" s="1">
        <v>3</v>
      </c>
      <c r="G5" s="1">
        <v>3</v>
      </c>
      <c r="H5" s="1">
        <v>2</v>
      </c>
      <c r="I5" s="1">
        <v>2</v>
      </c>
      <c r="J5" s="1">
        <v>2</v>
      </c>
      <c r="K5" s="1">
        <v>1</v>
      </c>
      <c r="L5" s="1">
        <v>3</v>
      </c>
      <c r="M5" s="1">
        <v>2</v>
      </c>
      <c r="N5" s="1">
        <v>1</v>
      </c>
      <c r="O5" s="1">
        <v>3</v>
      </c>
      <c r="P5" s="1">
        <v>3</v>
      </c>
      <c r="Q5" s="1">
        <v>3</v>
      </c>
      <c r="R5" s="1">
        <v>2</v>
      </c>
      <c r="S5" s="1">
        <v>3</v>
      </c>
      <c r="T5" s="1">
        <f>SUM(E5:S5)</f>
        <v>36</v>
      </c>
      <c r="U5" s="1">
        <f t="shared" si="0"/>
        <v>14</v>
      </c>
      <c r="V5" s="1">
        <f t="shared" si="1"/>
        <v>50</v>
      </c>
      <c r="W5" s="1">
        <f t="shared" si="2"/>
        <v>2.2000000000000002</v>
      </c>
      <c r="X5" s="1">
        <f t="shared" si="3"/>
        <v>2.8</v>
      </c>
      <c r="Y5" s="1" t="str">
        <f t="shared" si="4"/>
        <v>Alta</v>
      </c>
      <c r="Z5" s="1" t="str">
        <f t="shared" si="5"/>
        <v>Baja</v>
      </c>
      <c r="AA5" s="1">
        <f t="shared" si="6"/>
        <v>2</v>
      </c>
      <c r="AB5" s="1">
        <f t="shared" si="7"/>
        <v>2.6666666666666665</v>
      </c>
      <c r="AC5" s="1">
        <f t="shared" si="8"/>
        <v>2.2000000000000002</v>
      </c>
      <c r="AD5" s="1">
        <f t="shared" si="9"/>
        <v>2.25</v>
      </c>
    </row>
    <row r="6" spans="1:267" x14ac:dyDescent="0.25">
      <c r="A6" s="1" t="s">
        <v>37</v>
      </c>
      <c r="B6" s="3">
        <v>7</v>
      </c>
      <c r="C6" s="1" t="s">
        <v>36</v>
      </c>
      <c r="D6" s="1" t="s">
        <v>33</v>
      </c>
      <c r="E6" s="1">
        <v>3</v>
      </c>
      <c r="F6" s="1">
        <v>3</v>
      </c>
      <c r="G6" s="1">
        <v>3</v>
      </c>
      <c r="H6" s="1">
        <v>3</v>
      </c>
      <c r="I6" s="1">
        <v>2</v>
      </c>
      <c r="J6" s="1">
        <v>3</v>
      </c>
      <c r="K6" s="1">
        <v>3</v>
      </c>
      <c r="L6" s="1">
        <v>3</v>
      </c>
      <c r="M6" s="1">
        <v>2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f>SUM(E6:S6)</f>
        <v>43</v>
      </c>
      <c r="U6" s="1">
        <f t="shared" si="0"/>
        <v>15</v>
      </c>
      <c r="V6" s="1">
        <f t="shared" si="1"/>
        <v>58</v>
      </c>
      <c r="W6" s="1">
        <f t="shared" si="2"/>
        <v>2.8</v>
      </c>
      <c r="X6" s="1">
        <f t="shared" si="3"/>
        <v>3</v>
      </c>
      <c r="Y6" s="1" t="str">
        <f t="shared" si="4"/>
        <v>Alta</v>
      </c>
      <c r="Z6" s="1" t="str">
        <f t="shared" si="5"/>
        <v>Baja</v>
      </c>
      <c r="AA6" s="1">
        <f t="shared" si="6"/>
        <v>2.6666666666666665</v>
      </c>
      <c r="AB6" s="1">
        <f t="shared" si="7"/>
        <v>3</v>
      </c>
      <c r="AC6" s="1">
        <f t="shared" si="8"/>
        <v>2.0444444444444443</v>
      </c>
      <c r="AD6" s="1">
        <f t="shared" si="9"/>
        <v>3</v>
      </c>
    </row>
    <row r="7" spans="1:267" x14ac:dyDescent="0.25">
      <c r="A7" s="1" t="s">
        <v>38</v>
      </c>
      <c r="B7" s="3">
        <v>9</v>
      </c>
      <c r="C7" s="1" t="s">
        <v>36</v>
      </c>
      <c r="D7" s="1" t="s">
        <v>33</v>
      </c>
      <c r="E7" s="1">
        <v>3</v>
      </c>
      <c r="F7" s="1">
        <v>3</v>
      </c>
      <c r="G7" s="1">
        <v>3</v>
      </c>
      <c r="H7" s="1">
        <v>1</v>
      </c>
      <c r="I7" s="1">
        <v>3</v>
      </c>
      <c r="J7" s="1">
        <v>2</v>
      </c>
      <c r="K7" s="1">
        <v>1</v>
      </c>
      <c r="L7" s="1">
        <v>2</v>
      </c>
      <c r="M7" s="1">
        <v>2</v>
      </c>
      <c r="N7" s="1">
        <v>1</v>
      </c>
      <c r="O7" s="1">
        <v>3</v>
      </c>
      <c r="P7" s="1">
        <v>2</v>
      </c>
      <c r="Q7" s="1">
        <v>1</v>
      </c>
      <c r="R7" s="1">
        <v>2</v>
      </c>
      <c r="S7" s="1">
        <v>3</v>
      </c>
      <c r="T7" s="1">
        <f>SUM(E7:S7)</f>
        <v>32</v>
      </c>
      <c r="U7" s="1">
        <f t="shared" si="0"/>
        <v>11</v>
      </c>
      <c r="V7" s="1">
        <f t="shared" si="1"/>
        <v>43</v>
      </c>
      <c r="W7" s="1">
        <f t="shared" si="2"/>
        <v>2.1</v>
      </c>
      <c r="X7" s="1">
        <f t="shared" si="3"/>
        <v>2.2000000000000002</v>
      </c>
      <c r="Y7" s="1" t="str">
        <f t="shared" si="4"/>
        <v>Alta</v>
      </c>
      <c r="Z7" s="1" t="str">
        <f t="shared" si="5"/>
        <v>Baja</v>
      </c>
      <c r="AA7" s="1">
        <f t="shared" si="6"/>
        <v>1.3333333333333333</v>
      </c>
      <c r="AB7" s="1">
        <f t="shared" si="7"/>
        <v>2</v>
      </c>
      <c r="AC7" s="1">
        <f t="shared" si="8"/>
        <v>2.2888888888888888</v>
      </c>
      <c r="AD7" s="1">
        <f t="shared" si="9"/>
        <v>2.25</v>
      </c>
    </row>
    <row r="8" spans="1:267" x14ac:dyDescent="0.25">
      <c r="A8" s="1" t="s">
        <v>39</v>
      </c>
      <c r="B8" s="3">
        <v>6</v>
      </c>
      <c r="C8" s="1" t="s">
        <v>36</v>
      </c>
      <c r="D8" s="1" t="s">
        <v>33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2</v>
      </c>
      <c r="Q8" s="1">
        <v>2</v>
      </c>
      <c r="R8" s="1">
        <v>3</v>
      </c>
      <c r="S8" s="1">
        <v>2</v>
      </c>
      <c r="T8" s="1">
        <f>SUM(E8:S8)</f>
        <v>42</v>
      </c>
      <c r="U8" s="1">
        <f t="shared" si="0"/>
        <v>12</v>
      </c>
      <c r="V8" s="1">
        <f t="shared" si="1"/>
        <v>54</v>
      </c>
      <c r="W8" s="1">
        <f t="shared" si="2"/>
        <v>3</v>
      </c>
      <c r="X8" s="1">
        <f t="shared" si="3"/>
        <v>2.4</v>
      </c>
      <c r="Y8" s="1" t="str">
        <f t="shared" si="4"/>
        <v>Alta</v>
      </c>
      <c r="Z8" s="1" t="str">
        <f t="shared" si="5"/>
        <v>Baja</v>
      </c>
      <c r="AA8" s="1">
        <f t="shared" si="6"/>
        <v>2.6666666666666665</v>
      </c>
      <c r="AB8" s="1">
        <f t="shared" si="7"/>
        <v>2.6666666666666665</v>
      </c>
      <c r="AC8" s="1">
        <f t="shared" si="8"/>
        <v>2.0666666666666669</v>
      </c>
      <c r="AD8" s="1">
        <f t="shared" si="9"/>
        <v>2.75</v>
      </c>
    </row>
    <row r="9" spans="1:267" x14ac:dyDescent="0.25">
      <c r="A9" s="1" t="s">
        <v>40</v>
      </c>
      <c r="B9" s="3">
        <v>7</v>
      </c>
      <c r="C9" s="1" t="s">
        <v>36</v>
      </c>
      <c r="D9" s="1" t="s">
        <v>33</v>
      </c>
      <c r="E9" s="1">
        <v>3</v>
      </c>
      <c r="F9" s="1">
        <v>2</v>
      </c>
      <c r="G9" s="1">
        <v>3</v>
      </c>
      <c r="H9" s="1">
        <v>3</v>
      </c>
      <c r="I9" s="1">
        <v>2</v>
      </c>
      <c r="J9" s="1">
        <v>3</v>
      </c>
      <c r="K9" s="1">
        <v>2</v>
      </c>
      <c r="L9" s="1">
        <v>3</v>
      </c>
      <c r="M9" s="1">
        <v>2</v>
      </c>
      <c r="N9" s="1">
        <v>3</v>
      </c>
      <c r="O9" s="1">
        <v>3</v>
      </c>
      <c r="P9" s="1">
        <v>3</v>
      </c>
      <c r="Q9" s="1">
        <v>2</v>
      </c>
      <c r="R9" s="1">
        <v>3</v>
      </c>
      <c r="S9" s="1">
        <v>3</v>
      </c>
      <c r="T9" s="1">
        <f>SUM(E9:S9)</f>
        <v>40</v>
      </c>
      <c r="U9" s="1">
        <f t="shared" si="0"/>
        <v>14</v>
      </c>
      <c r="V9" s="1">
        <f t="shared" si="1"/>
        <v>54</v>
      </c>
      <c r="W9" s="1">
        <f t="shared" si="2"/>
        <v>2.6</v>
      </c>
      <c r="X9" s="1">
        <f t="shared" si="3"/>
        <v>2.8</v>
      </c>
      <c r="Y9" s="1" t="str">
        <f t="shared" si="4"/>
        <v>Alta</v>
      </c>
      <c r="Z9" s="1" t="str">
        <f t="shared" si="5"/>
        <v>Baja</v>
      </c>
      <c r="AA9" s="1">
        <f t="shared" si="6"/>
        <v>2</v>
      </c>
      <c r="AB9" s="1">
        <f t="shared" si="7"/>
        <v>3</v>
      </c>
      <c r="AC9" s="1">
        <f t="shared" si="8"/>
        <v>2.1111111111111112</v>
      </c>
      <c r="AD9" s="1">
        <f t="shared" si="9"/>
        <v>2.75</v>
      </c>
    </row>
    <row r="10" spans="1:267" x14ac:dyDescent="0.25">
      <c r="A10" s="1" t="s">
        <v>41</v>
      </c>
      <c r="B10" s="3">
        <v>7</v>
      </c>
      <c r="C10" s="1" t="s">
        <v>36</v>
      </c>
      <c r="D10" s="1" t="s">
        <v>33</v>
      </c>
      <c r="E10" s="1">
        <v>3</v>
      </c>
      <c r="F10" s="1">
        <v>3</v>
      </c>
      <c r="G10" s="1">
        <v>3</v>
      </c>
      <c r="H10" s="1">
        <v>2</v>
      </c>
      <c r="I10" s="1">
        <v>2</v>
      </c>
      <c r="J10" s="1">
        <v>2</v>
      </c>
      <c r="K10" s="1">
        <v>1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1</v>
      </c>
      <c r="R10" s="1">
        <v>1</v>
      </c>
      <c r="S10" s="1">
        <v>3</v>
      </c>
      <c r="T10" s="1">
        <f>SUM(E10:S10)</f>
        <v>36</v>
      </c>
      <c r="U10" s="1">
        <f t="shared" si="0"/>
        <v>11</v>
      </c>
      <c r="V10" s="1">
        <f t="shared" si="1"/>
        <v>47</v>
      </c>
      <c r="W10" s="1">
        <f t="shared" si="2"/>
        <v>2.5</v>
      </c>
      <c r="X10" s="1">
        <f t="shared" si="3"/>
        <v>2.2000000000000002</v>
      </c>
      <c r="Y10" s="1" t="str">
        <f t="shared" si="4"/>
        <v>Alta</v>
      </c>
      <c r="Z10" s="1" t="str">
        <f t="shared" si="5"/>
        <v>Baja</v>
      </c>
      <c r="AA10" s="1">
        <f t="shared" si="6"/>
        <v>1.6666666666666667</v>
      </c>
      <c r="AB10" s="1">
        <f t="shared" si="7"/>
        <v>2.6666666666666665</v>
      </c>
      <c r="AC10" s="1">
        <f t="shared" si="8"/>
        <v>2.2000000000000002</v>
      </c>
      <c r="AD10" s="1">
        <f t="shared" si="9"/>
        <v>2.75</v>
      </c>
    </row>
    <row r="11" spans="1:267" x14ac:dyDescent="0.25">
      <c r="A11" s="1" t="s">
        <v>42</v>
      </c>
      <c r="B11" s="3">
        <v>7</v>
      </c>
      <c r="C11" s="1" t="s">
        <v>36</v>
      </c>
      <c r="D11" s="1" t="s">
        <v>33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  <c r="S11" s="1">
        <v>3</v>
      </c>
      <c r="T11" s="1">
        <f>SUM(E11:S11)</f>
        <v>45</v>
      </c>
      <c r="U11" s="1">
        <f t="shared" si="0"/>
        <v>15</v>
      </c>
      <c r="V11" s="1">
        <f t="shared" si="1"/>
        <v>60</v>
      </c>
      <c r="W11" s="1">
        <f t="shared" si="2"/>
        <v>3</v>
      </c>
      <c r="X11" s="1">
        <f t="shared" si="3"/>
        <v>3</v>
      </c>
      <c r="Y11" s="1" t="str">
        <f t="shared" si="4"/>
        <v>Alta</v>
      </c>
      <c r="Z11" s="1" t="str">
        <f t="shared" si="5"/>
        <v>Baja</v>
      </c>
      <c r="AA11" s="1">
        <f t="shared" si="6"/>
        <v>3</v>
      </c>
      <c r="AB11" s="1">
        <f t="shared" si="7"/>
        <v>3</v>
      </c>
      <c r="AC11" s="1">
        <f t="shared" si="8"/>
        <v>2</v>
      </c>
      <c r="AD11" s="1">
        <f t="shared" si="9"/>
        <v>3</v>
      </c>
    </row>
    <row r="12" spans="1:267" x14ac:dyDescent="0.25">
      <c r="A12" s="1" t="s">
        <v>43</v>
      </c>
      <c r="C12" s="1" t="s">
        <v>36</v>
      </c>
      <c r="D12" s="1" t="s">
        <v>33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2</v>
      </c>
      <c r="M12" s="1">
        <v>2</v>
      </c>
      <c r="N12" s="1">
        <v>3</v>
      </c>
      <c r="O12" s="1">
        <v>3</v>
      </c>
      <c r="P12" s="1">
        <v>3</v>
      </c>
      <c r="Q12" s="1">
        <v>3</v>
      </c>
      <c r="R12" s="1">
        <v>2</v>
      </c>
      <c r="S12" s="1">
        <v>3</v>
      </c>
      <c r="T12" s="1">
        <f>SUM(E12:S12)</f>
        <v>42</v>
      </c>
      <c r="U12" s="1">
        <f t="shared" si="0"/>
        <v>14</v>
      </c>
      <c r="V12" s="1">
        <f t="shared" si="1"/>
        <v>56</v>
      </c>
      <c r="W12" s="1">
        <f t="shared" si="2"/>
        <v>2.8</v>
      </c>
      <c r="X12" s="1">
        <f t="shared" si="3"/>
        <v>2.8</v>
      </c>
      <c r="Y12" s="1" t="str">
        <f t="shared" si="4"/>
        <v>Alta</v>
      </c>
      <c r="Z12" s="1" t="str">
        <f t="shared" si="5"/>
        <v>Baja</v>
      </c>
      <c r="AA12" s="1">
        <f t="shared" si="6"/>
        <v>2.6666666666666665</v>
      </c>
      <c r="AB12" s="1">
        <f t="shared" si="7"/>
        <v>3</v>
      </c>
      <c r="AC12" s="1">
        <f t="shared" si="8"/>
        <v>2.0666666666666669</v>
      </c>
      <c r="AD12" s="1">
        <f t="shared" si="9"/>
        <v>3</v>
      </c>
    </row>
    <row r="13" spans="1:267" x14ac:dyDescent="0.25">
      <c r="A13" s="1" t="s">
        <v>44</v>
      </c>
      <c r="C13" s="1" t="s">
        <v>36</v>
      </c>
      <c r="D13" s="1" t="s">
        <v>33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  <c r="S13" s="1">
        <v>3</v>
      </c>
      <c r="T13" s="1">
        <f>SUM(E13:S13)</f>
        <v>45</v>
      </c>
      <c r="U13" s="1">
        <f t="shared" si="0"/>
        <v>15</v>
      </c>
      <c r="V13" s="1">
        <f t="shared" si="1"/>
        <v>60</v>
      </c>
      <c r="W13" s="1">
        <f t="shared" si="2"/>
        <v>3</v>
      </c>
      <c r="X13" s="1">
        <f t="shared" si="3"/>
        <v>3</v>
      </c>
      <c r="Y13" s="1" t="str">
        <f t="shared" si="4"/>
        <v>Alta</v>
      </c>
      <c r="Z13" s="1" t="str">
        <f t="shared" si="5"/>
        <v>Baja</v>
      </c>
      <c r="AA13" s="1">
        <f t="shared" si="6"/>
        <v>3</v>
      </c>
      <c r="AB13" s="1">
        <f t="shared" si="7"/>
        <v>3</v>
      </c>
      <c r="AC13" s="1">
        <f t="shared" si="8"/>
        <v>2</v>
      </c>
      <c r="AD13" s="1">
        <f t="shared" si="9"/>
        <v>3</v>
      </c>
    </row>
    <row r="14" spans="1:267" x14ac:dyDescent="0.25">
      <c r="A14" s="1" t="s">
        <v>45</v>
      </c>
      <c r="B14" s="1">
        <v>7</v>
      </c>
      <c r="C14" s="1" t="s">
        <v>36</v>
      </c>
      <c r="D14" s="1" t="s">
        <v>33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1</v>
      </c>
      <c r="K14" s="1">
        <v>3</v>
      </c>
      <c r="L14" s="1">
        <v>3</v>
      </c>
      <c r="M14" s="1">
        <v>3</v>
      </c>
      <c r="N14" s="1">
        <v>3</v>
      </c>
      <c r="O14" s="1">
        <v>3</v>
      </c>
      <c r="P14" s="1">
        <v>1</v>
      </c>
      <c r="Q14" s="1">
        <v>3</v>
      </c>
      <c r="R14" s="1">
        <v>3</v>
      </c>
      <c r="S14" s="1">
        <v>3</v>
      </c>
      <c r="T14" s="1">
        <f>SUM(E14:S14)</f>
        <v>41</v>
      </c>
      <c r="U14" s="1">
        <f t="shared" si="0"/>
        <v>13</v>
      </c>
      <c r="V14" s="1">
        <f t="shared" si="1"/>
        <v>54</v>
      </c>
      <c r="W14" s="1">
        <f t="shared" si="2"/>
        <v>2.8</v>
      </c>
      <c r="X14" s="1">
        <f t="shared" si="3"/>
        <v>2.6</v>
      </c>
      <c r="Y14" s="1" t="str">
        <f t="shared" si="4"/>
        <v>Alta</v>
      </c>
      <c r="Z14" s="1" t="str">
        <f t="shared" si="5"/>
        <v>Baja</v>
      </c>
      <c r="AA14" s="1">
        <f t="shared" si="6"/>
        <v>3</v>
      </c>
      <c r="AB14" s="1">
        <f t="shared" si="7"/>
        <v>2.3333333333333335</v>
      </c>
      <c r="AC14" s="1">
        <f t="shared" si="8"/>
        <v>2.088888888888889</v>
      </c>
      <c r="AD14" s="1">
        <f t="shared" si="9"/>
        <v>2.5</v>
      </c>
    </row>
    <row r="15" spans="1:267" x14ac:dyDescent="0.25">
      <c r="A15" s="1" t="s">
        <v>46</v>
      </c>
      <c r="B15" s="1">
        <v>7</v>
      </c>
      <c r="C15" s="1" t="s">
        <v>36</v>
      </c>
      <c r="D15" s="1" t="s">
        <v>33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f>SUM(E15:S15)</f>
        <v>45</v>
      </c>
      <c r="U15" s="1">
        <f t="shared" si="0"/>
        <v>15</v>
      </c>
      <c r="V15" s="1">
        <f t="shared" si="1"/>
        <v>60</v>
      </c>
      <c r="W15" s="1">
        <f t="shared" si="2"/>
        <v>3</v>
      </c>
      <c r="X15" s="1">
        <f t="shared" si="3"/>
        <v>3</v>
      </c>
      <c r="Y15" s="1" t="str">
        <f t="shared" si="4"/>
        <v>Alta</v>
      </c>
      <c r="Z15" s="1" t="str">
        <f t="shared" si="5"/>
        <v>Baja</v>
      </c>
      <c r="AA15" s="1">
        <f t="shared" si="6"/>
        <v>3</v>
      </c>
      <c r="AB15" s="1">
        <f t="shared" si="7"/>
        <v>3</v>
      </c>
      <c r="AC15" s="1">
        <f t="shared" si="8"/>
        <v>2</v>
      </c>
      <c r="AD15" s="1">
        <f t="shared" si="9"/>
        <v>3</v>
      </c>
    </row>
    <row r="16" spans="1:267" x14ac:dyDescent="0.25">
      <c r="A16" s="1" t="s">
        <v>47</v>
      </c>
      <c r="B16" s="1">
        <v>7</v>
      </c>
      <c r="C16" s="1" t="s">
        <v>36</v>
      </c>
      <c r="D16" s="1" t="s">
        <v>33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2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2</v>
      </c>
      <c r="R16" s="1">
        <v>3</v>
      </c>
      <c r="S16" s="1">
        <v>3</v>
      </c>
      <c r="T16" s="1">
        <f>SUM(E16:S16)</f>
        <v>43</v>
      </c>
      <c r="U16" s="1">
        <f t="shared" si="0"/>
        <v>14</v>
      </c>
      <c r="V16" s="1">
        <f t="shared" si="1"/>
        <v>57</v>
      </c>
      <c r="W16" s="1">
        <f t="shared" si="2"/>
        <v>2.9</v>
      </c>
      <c r="X16" s="1">
        <f t="shared" si="3"/>
        <v>2.8</v>
      </c>
      <c r="Y16" s="1" t="str">
        <f t="shared" si="4"/>
        <v>Alta</v>
      </c>
      <c r="Z16" s="1" t="str">
        <f t="shared" si="5"/>
        <v>Baja</v>
      </c>
      <c r="AA16" s="1">
        <f t="shared" si="6"/>
        <v>2.3333333333333335</v>
      </c>
      <c r="AB16" s="1">
        <f t="shared" si="7"/>
        <v>3</v>
      </c>
      <c r="AC16" s="1">
        <f t="shared" si="8"/>
        <v>2.0444444444444443</v>
      </c>
      <c r="AD16" s="1">
        <f t="shared" si="9"/>
        <v>3</v>
      </c>
    </row>
    <row r="17" spans="1:31" x14ac:dyDescent="0.25">
      <c r="A17" s="1" t="s">
        <v>49</v>
      </c>
      <c r="B17" s="1">
        <v>10</v>
      </c>
      <c r="C17" s="1" t="s">
        <v>32</v>
      </c>
      <c r="D17" s="1" t="s">
        <v>48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2</v>
      </c>
      <c r="K17" s="1">
        <v>3</v>
      </c>
      <c r="L17" s="1">
        <v>3</v>
      </c>
      <c r="M17" s="1">
        <v>3</v>
      </c>
      <c r="N17" s="1">
        <v>2</v>
      </c>
      <c r="O17" s="1">
        <v>3</v>
      </c>
      <c r="P17" s="1">
        <v>2</v>
      </c>
      <c r="Q17" s="1">
        <v>3</v>
      </c>
      <c r="R17" s="1">
        <v>2</v>
      </c>
      <c r="S17" s="1">
        <v>3</v>
      </c>
      <c r="T17" s="1">
        <f>SUM(E17:S17)</f>
        <v>41</v>
      </c>
      <c r="U17" s="1">
        <f t="shared" si="0"/>
        <v>13</v>
      </c>
      <c r="V17" s="1">
        <f t="shared" si="1"/>
        <v>54</v>
      </c>
      <c r="W17" s="1">
        <f t="shared" si="2"/>
        <v>2.8</v>
      </c>
      <c r="X17" s="1">
        <f t="shared" si="3"/>
        <v>2.6</v>
      </c>
      <c r="Y17" s="1" t="str">
        <f t="shared" si="4"/>
        <v>Alta</v>
      </c>
      <c r="Z17" s="1" t="str">
        <f t="shared" si="5"/>
        <v>Baja</v>
      </c>
      <c r="AA17" s="1">
        <f t="shared" si="6"/>
        <v>3</v>
      </c>
      <c r="AB17" s="1">
        <f t="shared" si="7"/>
        <v>2.6666666666666665</v>
      </c>
      <c r="AC17" s="1">
        <f t="shared" si="8"/>
        <v>2.088888888888889</v>
      </c>
      <c r="AD17" s="1">
        <f t="shared" si="9"/>
        <v>2.5</v>
      </c>
    </row>
    <row r="18" spans="1:31" x14ac:dyDescent="0.25">
      <c r="A18" s="1" t="s">
        <v>50</v>
      </c>
      <c r="B18" s="1">
        <v>6</v>
      </c>
      <c r="C18" s="1" t="s">
        <v>36</v>
      </c>
      <c r="D18" s="1" t="s">
        <v>48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2</v>
      </c>
      <c r="R18" s="1">
        <v>3</v>
      </c>
      <c r="S18" s="1">
        <v>3</v>
      </c>
      <c r="T18" s="1">
        <f>SUM(E18:S18)</f>
        <v>44</v>
      </c>
      <c r="U18" s="1">
        <f t="shared" si="0"/>
        <v>14</v>
      </c>
      <c r="V18" s="1">
        <f t="shared" si="1"/>
        <v>58</v>
      </c>
      <c r="W18" s="1">
        <f t="shared" si="2"/>
        <v>3</v>
      </c>
      <c r="X18" s="1">
        <f t="shared" si="3"/>
        <v>2.8</v>
      </c>
      <c r="Y18" s="1" t="str">
        <f t="shared" si="4"/>
        <v>Alta</v>
      </c>
      <c r="Z18" s="1" t="str">
        <f t="shared" si="5"/>
        <v>Baja</v>
      </c>
      <c r="AA18" s="1">
        <f t="shared" si="6"/>
        <v>2.6666666666666665</v>
      </c>
      <c r="AB18" s="1">
        <f t="shared" si="7"/>
        <v>3</v>
      </c>
      <c r="AC18" s="1">
        <f t="shared" si="8"/>
        <v>2.0222222222222221</v>
      </c>
      <c r="AD18" s="1">
        <f t="shared" si="9"/>
        <v>3</v>
      </c>
    </row>
    <row r="19" spans="1:31" x14ac:dyDescent="0.25">
      <c r="A19" s="1" t="s">
        <v>51</v>
      </c>
      <c r="B19" s="1">
        <v>11</v>
      </c>
      <c r="C19" s="1" t="s">
        <v>36</v>
      </c>
      <c r="D19" s="1" t="s">
        <v>48</v>
      </c>
      <c r="E19" s="1">
        <v>3</v>
      </c>
      <c r="F19" s="1">
        <v>3</v>
      </c>
      <c r="G19" s="1">
        <v>3</v>
      </c>
      <c r="H19" s="1">
        <v>2</v>
      </c>
      <c r="I19" s="1">
        <v>3</v>
      </c>
      <c r="J19" s="1">
        <v>3</v>
      </c>
      <c r="K19" s="1">
        <v>2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</v>
      </c>
      <c r="T19" s="1">
        <f>SUM(E19:S19)</f>
        <v>43</v>
      </c>
      <c r="U19" s="1">
        <f t="shared" si="0"/>
        <v>15</v>
      </c>
      <c r="V19" s="1">
        <f t="shared" si="1"/>
        <v>58</v>
      </c>
      <c r="W19" s="1">
        <f t="shared" si="2"/>
        <v>2.8</v>
      </c>
      <c r="X19" s="1">
        <f t="shared" si="3"/>
        <v>3</v>
      </c>
      <c r="Y19" s="1" t="str">
        <f t="shared" si="4"/>
        <v>Alta</v>
      </c>
      <c r="Z19" s="1" t="str">
        <f t="shared" si="5"/>
        <v>Baja</v>
      </c>
      <c r="AA19" s="1">
        <f t="shared" si="6"/>
        <v>2.6666666666666665</v>
      </c>
      <c r="AB19" s="1">
        <f t="shared" si="7"/>
        <v>2.6666666666666665</v>
      </c>
      <c r="AC19" s="1">
        <f t="shared" si="8"/>
        <v>2.0444444444444443</v>
      </c>
      <c r="AD19" s="1">
        <f t="shared" si="9"/>
        <v>3</v>
      </c>
    </row>
    <row r="20" spans="1:31" x14ac:dyDescent="0.25">
      <c r="A20" s="1" t="s">
        <v>52</v>
      </c>
      <c r="B20" s="1">
        <v>7</v>
      </c>
      <c r="C20" s="1" t="s">
        <v>36</v>
      </c>
      <c r="D20" s="1" t="s">
        <v>48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3</v>
      </c>
      <c r="Q20" s="1">
        <v>3</v>
      </c>
      <c r="R20" s="1">
        <v>3</v>
      </c>
      <c r="S20" s="1">
        <v>3</v>
      </c>
      <c r="T20" s="1">
        <f>SUM(E20:S20)</f>
        <v>45</v>
      </c>
      <c r="U20" s="1">
        <f t="shared" si="0"/>
        <v>15</v>
      </c>
      <c r="V20" s="1">
        <f t="shared" si="1"/>
        <v>60</v>
      </c>
      <c r="W20" s="1">
        <f t="shared" si="2"/>
        <v>3</v>
      </c>
      <c r="X20" s="1">
        <f t="shared" si="3"/>
        <v>3</v>
      </c>
      <c r="Y20" s="1" t="str">
        <f t="shared" si="4"/>
        <v>Alta</v>
      </c>
      <c r="Z20" s="1" t="str">
        <f t="shared" si="5"/>
        <v>Baja</v>
      </c>
      <c r="AA20" s="1">
        <f t="shared" si="6"/>
        <v>3</v>
      </c>
      <c r="AB20" s="1">
        <f t="shared" si="7"/>
        <v>3</v>
      </c>
      <c r="AC20" s="1">
        <f t="shared" si="8"/>
        <v>2</v>
      </c>
      <c r="AD20" s="1">
        <f t="shared" si="9"/>
        <v>3</v>
      </c>
    </row>
    <row r="21" spans="1:31" x14ac:dyDescent="0.25">
      <c r="A21" s="1" t="s">
        <v>53</v>
      </c>
      <c r="B21" s="1">
        <v>6</v>
      </c>
      <c r="C21" s="1" t="s">
        <v>36</v>
      </c>
      <c r="D21" s="1" t="s">
        <v>48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 s="1">
        <v>3</v>
      </c>
      <c r="P21" s="1">
        <v>3</v>
      </c>
      <c r="Q21" s="1">
        <v>3</v>
      </c>
      <c r="R21" s="1">
        <v>3</v>
      </c>
      <c r="S21" s="1">
        <v>3</v>
      </c>
      <c r="T21" s="1">
        <f>SUM(E21:S21)</f>
        <v>45</v>
      </c>
      <c r="U21" s="1">
        <f t="shared" si="0"/>
        <v>15</v>
      </c>
      <c r="V21" s="1">
        <f t="shared" si="1"/>
        <v>60</v>
      </c>
      <c r="W21" s="1">
        <f t="shared" si="2"/>
        <v>3</v>
      </c>
      <c r="X21" s="1">
        <f t="shared" si="3"/>
        <v>3</v>
      </c>
      <c r="Y21" s="1" t="str">
        <f t="shared" si="4"/>
        <v>Alta</v>
      </c>
      <c r="Z21" s="1" t="str">
        <f t="shared" si="5"/>
        <v>Baja</v>
      </c>
      <c r="AA21" s="1">
        <f t="shared" si="6"/>
        <v>3</v>
      </c>
      <c r="AB21" s="1">
        <f t="shared" si="7"/>
        <v>3</v>
      </c>
      <c r="AC21" s="1">
        <f t="shared" si="8"/>
        <v>2</v>
      </c>
      <c r="AD21" s="1">
        <f t="shared" si="9"/>
        <v>3</v>
      </c>
    </row>
    <row r="22" spans="1:31" x14ac:dyDescent="0.25">
      <c r="A22" s="1" t="s">
        <v>54</v>
      </c>
      <c r="B22" s="1">
        <v>10</v>
      </c>
      <c r="C22" s="1" t="s">
        <v>36</v>
      </c>
      <c r="D22" s="1" t="s">
        <v>48</v>
      </c>
      <c r="E22" s="1">
        <v>3</v>
      </c>
      <c r="F22" s="1">
        <v>3</v>
      </c>
      <c r="G22" s="1">
        <v>3</v>
      </c>
      <c r="H22" s="1">
        <v>3</v>
      </c>
      <c r="I22" s="1">
        <v>2</v>
      </c>
      <c r="J22" s="1">
        <v>2</v>
      </c>
      <c r="K22" s="1">
        <v>3</v>
      </c>
      <c r="L22" s="1">
        <v>2</v>
      </c>
      <c r="M22" s="1">
        <v>2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f>SUM(E22:S22)</f>
        <v>41</v>
      </c>
      <c r="U22" s="1">
        <f t="shared" si="0"/>
        <v>15</v>
      </c>
      <c r="V22" s="1">
        <f t="shared" si="1"/>
        <v>56</v>
      </c>
      <c r="W22" s="1">
        <f t="shared" si="2"/>
        <v>2.6</v>
      </c>
      <c r="X22" s="1">
        <f t="shared" si="3"/>
        <v>3</v>
      </c>
      <c r="Y22" s="1" t="str">
        <f t="shared" si="4"/>
        <v>Alta</v>
      </c>
      <c r="Z22" s="1" t="str">
        <f t="shared" si="5"/>
        <v>Baja</v>
      </c>
      <c r="AA22" s="1">
        <f t="shared" si="6"/>
        <v>2.6666666666666665</v>
      </c>
      <c r="AB22" s="1">
        <f t="shared" si="7"/>
        <v>3</v>
      </c>
      <c r="AC22" s="1">
        <f t="shared" si="8"/>
        <v>2.088888888888889</v>
      </c>
      <c r="AD22" s="1">
        <f t="shared" si="9"/>
        <v>2.75</v>
      </c>
    </row>
    <row r="23" spans="1:31" x14ac:dyDescent="0.25">
      <c r="A23" s="1" t="s">
        <v>55</v>
      </c>
      <c r="B23" s="1">
        <v>11</v>
      </c>
      <c r="C23" s="1" t="s">
        <v>36</v>
      </c>
      <c r="D23" s="1" t="s">
        <v>48</v>
      </c>
      <c r="E23" s="1">
        <v>3</v>
      </c>
      <c r="F23" s="1">
        <v>3</v>
      </c>
      <c r="G23" s="1">
        <v>3</v>
      </c>
      <c r="H23" s="1">
        <v>2</v>
      </c>
      <c r="I23" s="1">
        <v>3</v>
      </c>
      <c r="J23" s="1">
        <v>3</v>
      </c>
      <c r="K23" s="1">
        <v>2</v>
      </c>
      <c r="L23" s="1">
        <v>2</v>
      </c>
      <c r="M23" s="1">
        <v>3</v>
      </c>
      <c r="N23" s="1">
        <v>2</v>
      </c>
      <c r="O23" s="1">
        <v>3</v>
      </c>
      <c r="P23" s="1">
        <v>2</v>
      </c>
      <c r="Q23" s="1">
        <v>3</v>
      </c>
      <c r="R23" s="1">
        <v>3</v>
      </c>
      <c r="S23" s="1">
        <v>3</v>
      </c>
      <c r="T23" s="1">
        <f>SUM(E23:S23)</f>
        <v>40</v>
      </c>
      <c r="U23" s="1">
        <f t="shared" si="0"/>
        <v>14</v>
      </c>
      <c r="V23" s="1">
        <f t="shared" si="1"/>
        <v>54</v>
      </c>
      <c r="W23" s="1">
        <f t="shared" si="2"/>
        <v>2.6</v>
      </c>
      <c r="X23" s="1">
        <f t="shared" si="3"/>
        <v>2.8</v>
      </c>
      <c r="Y23" s="1" t="str">
        <f t="shared" si="4"/>
        <v>Alta</v>
      </c>
      <c r="Z23" s="1" t="str">
        <f t="shared" si="5"/>
        <v>Baja</v>
      </c>
      <c r="AA23" s="1">
        <f t="shared" si="6"/>
        <v>2.6666666666666665</v>
      </c>
      <c r="AB23" s="1">
        <f t="shared" si="7"/>
        <v>2.3333333333333335</v>
      </c>
      <c r="AC23" s="1">
        <f t="shared" si="8"/>
        <v>2.1111111111111112</v>
      </c>
      <c r="AD23" s="1">
        <f t="shared" si="9"/>
        <v>2.75</v>
      </c>
    </row>
    <row r="24" spans="1:31" x14ac:dyDescent="0.25">
      <c r="A24" s="1" t="s">
        <v>56</v>
      </c>
      <c r="B24" s="1">
        <v>12</v>
      </c>
      <c r="C24" s="1" t="s">
        <v>36</v>
      </c>
      <c r="D24" s="1" t="s">
        <v>48</v>
      </c>
      <c r="E24" s="1">
        <v>2</v>
      </c>
      <c r="F24" s="1">
        <v>3</v>
      </c>
      <c r="G24" s="1">
        <v>3</v>
      </c>
      <c r="H24" s="1">
        <v>2</v>
      </c>
      <c r="I24" s="1">
        <v>3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3</v>
      </c>
      <c r="R24" s="1">
        <v>3</v>
      </c>
      <c r="S24" s="1">
        <v>2</v>
      </c>
      <c r="T24" s="1">
        <f>SUM(E24:S24)</f>
        <v>35</v>
      </c>
      <c r="U24" s="1">
        <f t="shared" si="0"/>
        <v>12</v>
      </c>
      <c r="V24" s="1">
        <f t="shared" si="1"/>
        <v>47</v>
      </c>
      <c r="W24" s="1">
        <f t="shared" si="2"/>
        <v>2.2999999999999998</v>
      </c>
      <c r="X24" s="1">
        <f t="shared" si="3"/>
        <v>2.4</v>
      </c>
      <c r="Y24" s="1" t="str">
        <f t="shared" si="4"/>
        <v>Alta</v>
      </c>
      <c r="Z24" s="1" t="str">
        <f t="shared" si="5"/>
        <v>Baja</v>
      </c>
      <c r="AA24" s="1">
        <f t="shared" si="6"/>
        <v>2.3333333333333335</v>
      </c>
      <c r="AB24" s="1">
        <f t="shared" si="7"/>
        <v>2.3333333333333335</v>
      </c>
      <c r="AC24" s="1">
        <f t="shared" si="8"/>
        <v>2.2222222222222223</v>
      </c>
      <c r="AD24" s="1">
        <f t="shared" si="9"/>
        <v>2.25</v>
      </c>
    </row>
    <row r="25" spans="1:31" x14ac:dyDescent="0.25">
      <c r="A25" s="2" t="s">
        <v>57</v>
      </c>
      <c r="C25" s="1" t="s">
        <v>36</v>
      </c>
      <c r="D25" s="1" t="s">
        <v>48</v>
      </c>
      <c r="E25" s="1">
        <v>2</v>
      </c>
      <c r="F25" s="1">
        <v>2</v>
      </c>
      <c r="G25" s="1">
        <v>3</v>
      </c>
      <c r="H25" s="1">
        <v>2</v>
      </c>
      <c r="I25" s="1">
        <v>3</v>
      </c>
      <c r="J25" s="1">
        <v>2</v>
      </c>
      <c r="K25" s="1">
        <v>3</v>
      </c>
      <c r="L25" s="1">
        <v>3</v>
      </c>
      <c r="M25" s="1">
        <v>2</v>
      </c>
      <c r="N25" s="1">
        <v>3</v>
      </c>
      <c r="O25" s="1">
        <v>2</v>
      </c>
      <c r="P25" s="1">
        <v>2</v>
      </c>
      <c r="Q25" s="1">
        <v>2</v>
      </c>
      <c r="R25" s="1">
        <v>3</v>
      </c>
      <c r="S25" s="1">
        <v>2</v>
      </c>
      <c r="T25" s="1">
        <f>SUM(E25:S25)</f>
        <v>36</v>
      </c>
      <c r="U25" s="1">
        <f t="shared" si="0"/>
        <v>11</v>
      </c>
      <c r="V25" s="1">
        <f t="shared" si="1"/>
        <v>47</v>
      </c>
      <c r="W25" s="1">
        <f t="shared" si="2"/>
        <v>2.5</v>
      </c>
      <c r="X25" s="1">
        <f t="shared" si="3"/>
        <v>2.2000000000000002</v>
      </c>
      <c r="Y25" s="1" t="str">
        <f t="shared" si="4"/>
        <v>Alta</v>
      </c>
      <c r="Z25" s="1" t="str">
        <f t="shared" si="5"/>
        <v>Baja</v>
      </c>
      <c r="AA25" s="1">
        <f t="shared" si="6"/>
        <v>2.3333333333333335</v>
      </c>
      <c r="AB25" s="1">
        <f t="shared" si="7"/>
        <v>2.3333333333333335</v>
      </c>
      <c r="AC25" s="1">
        <f t="shared" si="8"/>
        <v>2.2000000000000002</v>
      </c>
      <c r="AD25" s="1">
        <f t="shared" si="9"/>
        <v>2.25</v>
      </c>
    </row>
    <row r="26" spans="1:31" x14ac:dyDescent="0.25">
      <c r="A26" s="1" t="s">
        <v>58</v>
      </c>
      <c r="B26" s="1">
        <v>12</v>
      </c>
      <c r="C26" s="1" t="s">
        <v>36</v>
      </c>
      <c r="D26" s="1" t="s">
        <v>48</v>
      </c>
      <c r="E26" s="1">
        <v>3</v>
      </c>
      <c r="F26" s="1">
        <v>3</v>
      </c>
      <c r="G26" s="1">
        <v>3</v>
      </c>
      <c r="H26" s="1">
        <v>2</v>
      </c>
      <c r="I26" s="1">
        <v>3</v>
      </c>
      <c r="J26" s="1">
        <v>3</v>
      </c>
      <c r="K26" s="1">
        <v>2</v>
      </c>
      <c r="L26" s="1">
        <v>3</v>
      </c>
      <c r="M26" s="1">
        <v>3</v>
      </c>
      <c r="N26" s="1">
        <v>2</v>
      </c>
      <c r="O26" s="1">
        <v>3</v>
      </c>
      <c r="P26" s="1">
        <v>2</v>
      </c>
      <c r="Q26" s="1">
        <v>3</v>
      </c>
      <c r="R26" s="1">
        <v>3</v>
      </c>
      <c r="S26" s="1">
        <v>3</v>
      </c>
      <c r="T26" s="1">
        <f>SUM(E26:S26)</f>
        <v>41</v>
      </c>
      <c r="U26" s="1">
        <f t="shared" si="0"/>
        <v>14</v>
      </c>
      <c r="V26" s="1">
        <f t="shared" si="1"/>
        <v>55</v>
      </c>
      <c r="W26" s="1">
        <f t="shared" si="2"/>
        <v>2.7</v>
      </c>
      <c r="X26" s="1">
        <f t="shared" si="3"/>
        <v>2.8</v>
      </c>
      <c r="Y26" s="1" t="str">
        <f t="shared" si="4"/>
        <v>Alta</v>
      </c>
      <c r="Z26" s="1" t="str">
        <f t="shared" si="5"/>
        <v>Baja</v>
      </c>
      <c r="AA26" s="1">
        <f t="shared" si="6"/>
        <v>2.6666666666666665</v>
      </c>
      <c r="AB26" s="1">
        <f t="shared" si="7"/>
        <v>2.3333333333333335</v>
      </c>
      <c r="AC26" s="1">
        <f t="shared" si="8"/>
        <v>2.088888888888889</v>
      </c>
      <c r="AD26" s="1">
        <f t="shared" si="9"/>
        <v>2.75</v>
      </c>
    </row>
    <row r="27" spans="1:31" x14ac:dyDescent="0.25">
      <c r="A27" s="1" t="s">
        <v>59</v>
      </c>
      <c r="B27" s="1">
        <v>10</v>
      </c>
      <c r="C27" s="1" t="s">
        <v>32</v>
      </c>
      <c r="D27" s="1" t="s">
        <v>48</v>
      </c>
      <c r="E27" s="1">
        <v>3</v>
      </c>
      <c r="F27" s="1">
        <v>2</v>
      </c>
      <c r="G27" s="1">
        <v>3</v>
      </c>
      <c r="H27" s="1">
        <v>2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3</v>
      </c>
      <c r="T27" s="1">
        <f>SUM(E27:S27)</f>
        <v>43</v>
      </c>
      <c r="U27" s="1">
        <f t="shared" si="0"/>
        <v>15</v>
      </c>
      <c r="V27" s="1">
        <f t="shared" si="1"/>
        <v>58</v>
      </c>
      <c r="W27" s="1">
        <f t="shared" si="2"/>
        <v>2.8</v>
      </c>
      <c r="X27" s="1">
        <f t="shared" si="3"/>
        <v>3</v>
      </c>
      <c r="Y27" s="1" t="str">
        <f t="shared" si="4"/>
        <v>Alta</v>
      </c>
      <c r="Z27" s="1" t="str">
        <f t="shared" si="5"/>
        <v>Baja</v>
      </c>
      <c r="AA27" s="1">
        <f t="shared" si="6"/>
        <v>3</v>
      </c>
      <c r="AB27" s="1">
        <f t="shared" si="7"/>
        <v>2.6666666666666665</v>
      </c>
      <c r="AC27" s="1">
        <f t="shared" si="8"/>
        <v>2.0444444444444443</v>
      </c>
      <c r="AD27" s="1">
        <f t="shared" si="9"/>
        <v>2.75</v>
      </c>
    </row>
    <row r="28" spans="1:31" x14ac:dyDescent="0.25">
      <c r="A28" s="1" t="s">
        <v>60</v>
      </c>
      <c r="B28" s="1">
        <v>11</v>
      </c>
      <c r="C28" s="1" t="s">
        <v>36</v>
      </c>
      <c r="D28" s="1" t="s">
        <v>48</v>
      </c>
      <c r="E28" s="1">
        <v>2</v>
      </c>
      <c r="F28" s="1">
        <v>3</v>
      </c>
      <c r="G28" s="1">
        <v>3</v>
      </c>
      <c r="H28" s="1">
        <v>3</v>
      </c>
      <c r="I28" s="1">
        <v>2</v>
      </c>
      <c r="J28" s="1">
        <v>3</v>
      </c>
      <c r="K28" s="1">
        <v>3</v>
      </c>
      <c r="L28" s="1">
        <v>3</v>
      </c>
      <c r="M28" s="1">
        <v>2</v>
      </c>
      <c r="N28" s="1">
        <v>3</v>
      </c>
      <c r="O28" s="1">
        <v>3</v>
      </c>
      <c r="P28" s="1">
        <v>2</v>
      </c>
      <c r="Q28" s="1">
        <v>3</v>
      </c>
      <c r="R28" s="1">
        <v>3</v>
      </c>
      <c r="S28" s="1">
        <v>3</v>
      </c>
      <c r="T28" s="1">
        <f>SUM(E28:S28)</f>
        <v>41</v>
      </c>
      <c r="U28" s="1">
        <f t="shared" si="0"/>
        <v>14</v>
      </c>
      <c r="V28" s="1">
        <f t="shared" si="1"/>
        <v>55</v>
      </c>
      <c r="W28" s="1">
        <f t="shared" si="2"/>
        <v>2.7</v>
      </c>
      <c r="X28" s="1">
        <f t="shared" si="3"/>
        <v>2.8</v>
      </c>
      <c r="Y28" s="1" t="str">
        <f t="shared" si="4"/>
        <v>Alta</v>
      </c>
      <c r="Z28" s="1" t="str">
        <f t="shared" si="5"/>
        <v>Baja</v>
      </c>
      <c r="AA28" s="1">
        <f t="shared" si="6"/>
        <v>2.6666666666666665</v>
      </c>
      <c r="AB28" s="1">
        <f t="shared" si="7"/>
        <v>2.6666666666666665</v>
      </c>
      <c r="AC28" s="1">
        <f t="shared" si="8"/>
        <v>2.088888888888889</v>
      </c>
      <c r="AD28" s="1">
        <f t="shared" si="9"/>
        <v>3</v>
      </c>
    </row>
    <row r="29" spans="1:31" x14ac:dyDescent="0.25">
      <c r="A29" s="1" t="s">
        <v>61</v>
      </c>
      <c r="B29" s="1">
        <v>11</v>
      </c>
      <c r="C29" s="1" t="s">
        <v>36</v>
      </c>
      <c r="D29" s="1" t="s">
        <v>48</v>
      </c>
      <c r="E29" s="1">
        <v>3</v>
      </c>
      <c r="F29" s="1">
        <v>2</v>
      </c>
      <c r="G29" s="1">
        <v>3</v>
      </c>
      <c r="H29" s="1">
        <v>3</v>
      </c>
      <c r="I29" s="1">
        <v>2</v>
      </c>
      <c r="J29" s="1">
        <v>3</v>
      </c>
      <c r="K29" s="1">
        <v>2</v>
      </c>
      <c r="L29" s="1">
        <v>3</v>
      </c>
      <c r="M29" s="1">
        <v>2</v>
      </c>
      <c r="N29" s="1">
        <v>3</v>
      </c>
      <c r="O29" s="1">
        <v>3</v>
      </c>
      <c r="P29" s="1">
        <v>1</v>
      </c>
      <c r="Q29" s="1">
        <v>3</v>
      </c>
      <c r="R29" s="1">
        <v>3</v>
      </c>
      <c r="S29" s="1">
        <v>3</v>
      </c>
      <c r="T29" s="1">
        <f>SUM(E29:S29)</f>
        <v>39</v>
      </c>
      <c r="U29" s="1">
        <f t="shared" si="0"/>
        <v>13</v>
      </c>
      <c r="V29" s="1">
        <f t="shared" si="1"/>
        <v>52</v>
      </c>
      <c r="W29" s="1">
        <f t="shared" si="2"/>
        <v>2.6</v>
      </c>
      <c r="X29" s="1">
        <f t="shared" si="3"/>
        <v>2.6</v>
      </c>
      <c r="Y29" s="1" t="str">
        <f t="shared" si="4"/>
        <v>Alta</v>
      </c>
      <c r="Z29" s="1" t="str">
        <f t="shared" si="5"/>
        <v>Baja</v>
      </c>
      <c r="AA29" s="1">
        <f t="shared" si="6"/>
        <v>2.3333333333333335</v>
      </c>
      <c r="AB29" s="1">
        <f t="shared" si="7"/>
        <v>2.3333333333333335</v>
      </c>
      <c r="AC29" s="1">
        <f t="shared" si="8"/>
        <v>2.1333333333333333</v>
      </c>
      <c r="AD29" s="1">
        <f t="shared" si="9"/>
        <v>2.75</v>
      </c>
    </row>
    <row r="30" spans="1:31" x14ac:dyDescent="0.25">
      <c r="A30" s="2" t="s">
        <v>62</v>
      </c>
      <c r="C30" s="1" t="s">
        <v>36</v>
      </c>
      <c r="D30" s="1" t="s">
        <v>48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3</v>
      </c>
      <c r="P30" s="1">
        <v>3</v>
      </c>
      <c r="Q30" s="1">
        <v>3</v>
      </c>
      <c r="R30" s="1">
        <v>3</v>
      </c>
      <c r="S30" s="1">
        <v>3</v>
      </c>
      <c r="T30" s="1">
        <f>SUM(E30:S30)</f>
        <v>45</v>
      </c>
      <c r="U30" s="1">
        <f t="shared" si="0"/>
        <v>15</v>
      </c>
      <c r="V30" s="1">
        <f t="shared" si="1"/>
        <v>60</v>
      </c>
      <c r="W30" s="1">
        <f t="shared" si="2"/>
        <v>3</v>
      </c>
      <c r="X30" s="1">
        <f t="shared" si="3"/>
        <v>3</v>
      </c>
      <c r="Y30" s="1" t="str">
        <f t="shared" si="4"/>
        <v>Alta</v>
      </c>
      <c r="Z30" s="1" t="str">
        <f t="shared" si="5"/>
        <v>Baja</v>
      </c>
      <c r="AA30" s="1">
        <f t="shared" si="6"/>
        <v>3</v>
      </c>
      <c r="AB30" s="1">
        <f t="shared" si="7"/>
        <v>3</v>
      </c>
      <c r="AC30" s="1">
        <f t="shared" si="8"/>
        <v>2</v>
      </c>
      <c r="AD30" s="1">
        <f t="shared" si="9"/>
        <v>3</v>
      </c>
    </row>
    <row r="31" spans="1:31" x14ac:dyDescent="0.25">
      <c r="A31" s="1" t="s">
        <v>63</v>
      </c>
      <c r="B31" s="1">
        <v>11</v>
      </c>
      <c r="C31" s="1" t="s">
        <v>36</v>
      </c>
      <c r="D31" s="1" t="s">
        <v>48</v>
      </c>
      <c r="E31" s="1">
        <v>2</v>
      </c>
      <c r="F31" s="1">
        <v>2</v>
      </c>
      <c r="G31" s="1">
        <v>2</v>
      </c>
      <c r="H31" s="1">
        <v>2</v>
      </c>
      <c r="I31" s="1">
        <v>3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3</v>
      </c>
      <c r="P31" s="1">
        <v>3</v>
      </c>
      <c r="Q31" s="1">
        <v>3</v>
      </c>
      <c r="R31" s="1">
        <v>3</v>
      </c>
      <c r="S31" s="1">
        <v>2</v>
      </c>
      <c r="T31" s="1">
        <f>SUM(E31:S31)</f>
        <v>35</v>
      </c>
      <c r="U31" s="1">
        <f t="shared" si="0"/>
        <v>14</v>
      </c>
      <c r="V31" s="1">
        <f t="shared" si="1"/>
        <v>49</v>
      </c>
      <c r="W31" s="1">
        <f t="shared" si="2"/>
        <v>2.1</v>
      </c>
      <c r="X31" s="1">
        <f t="shared" si="3"/>
        <v>2.8</v>
      </c>
      <c r="Y31" s="1" t="str">
        <f t="shared" si="4"/>
        <v>Alta</v>
      </c>
      <c r="Z31" s="1" t="str">
        <f t="shared" si="5"/>
        <v>Baja</v>
      </c>
      <c r="AA31" s="1">
        <f t="shared" si="6"/>
        <v>2.3333333333333335</v>
      </c>
      <c r="AB31" s="1">
        <f t="shared" si="7"/>
        <v>2.3333333333333335</v>
      </c>
      <c r="AC31" s="1">
        <f t="shared" si="8"/>
        <v>2.2222222222222223</v>
      </c>
      <c r="AD31" s="1">
        <f t="shared" si="9"/>
        <v>2</v>
      </c>
    </row>
    <row r="32" spans="1:31" x14ac:dyDescent="0.25">
      <c r="A32" s="1" t="s">
        <v>64</v>
      </c>
      <c r="B32" s="1">
        <v>16</v>
      </c>
      <c r="C32" s="1" t="s">
        <v>36</v>
      </c>
      <c r="D32" s="1" t="s">
        <v>48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v>1</v>
      </c>
      <c r="Q32" s="1">
        <v>1</v>
      </c>
      <c r="R32" s="1">
        <v>3</v>
      </c>
      <c r="S32" s="1">
        <v>1</v>
      </c>
      <c r="T32" s="1">
        <f>SUM(E32:S32)</f>
        <v>39</v>
      </c>
      <c r="U32" s="1">
        <f t="shared" si="0"/>
        <v>9</v>
      </c>
      <c r="V32" s="1">
        <f t="shared" si="1"/>
        <v>48</v>
      </c>
      <c r="W32" s="1">
        <f t="shared" si="2"/>
        <v>3</v>
      </c>
      <c r="X32" s="1">
        <f t="shared" si="3"/>
        <v>1.8</v>
      </c>
      <c r="Y32" s="1" t="str">
        <f t="shared" si="4"/>
        <v>Alta</v>
      </c>
      <c r="Z32" s="1" t="str">
        <f t="shared" si="5"/>
        <v>Baja</v>
      </c>
      <c r="AA32" s="1">
        <f t="shared" si="6"/>
        <v>2.3333333333333335</v>
      </c>
      <c r="AB32" s="1">
        <f t="shared" si="7"/>
        <v>2.3333333333333335</v>
      </c>
      <c r="AC32" s="1">
        <f t="shared" si="8"/>
        <v>2.1333333333333333</v>
      </c>
      <c r="AD32" s="1">
        <f t="shared" si="9"/>
        <v>2.5</v>
      </c>
      <c r="AE32" s="1" t="s">
        <v>65</v>
      </c>
    </row>
    <row r="33" spans="1:30" x14ac:dyDescent="0.25">
      <c r="A33" s="3" t="s">
        <v>97</v>
      </c>
      <c r="B33" s="1">
        <v>6</v>
      </c>
      <c r="C33" s="1" t="s">
        <v>36</v>
      </c>
      <c r="D33" s="1" t="s">
        <v>48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3</v>
      </c>
      <c r="P33" s="1">
        <v>3</v>
      </c>
      <c r="Q33" s="1">
        <v>3</v>
      </c>
      <c r="R33" s="1">
        <v>3</v>
      </c>
      <c r="S33" s="1">
        <v>3</v>
      </c>
      <c r="T33" s="1">
        <f>SUM(E33:S33)</f>
        <v>45</v>
      </c>
      <c r="U33" s="1">
        <f t="shared" si="0"/>
        <v>15</v>
      </c>
      <c r="V33" s="1">
        <f t="shared" si="1"/>
        <v>60</v>
      </c>
      <c r="W33" s="1">
        <f t="shared" si="2"/>
        <v>3</v>
      </c>
      <c r="X33" s="1">
        <f t="shared" si="3"/>
        <v>3</v>
      </c>
      <c r="Y33" s="1" t="str">
        <f t="shared" si="4"/>
        <v>Alta</v>
      </c>
      <c r="Z33" s="1" t="str">
        <f t="shared" si="5"/>
        <v>Baja</v>
      </c>
      <c r="AA33" s="1">
        <f t="shared" si="6"/>
        <v>3</v>
      </c>
      <c r="AB33" s="1">
        <f t="shared" si="7"/>
        <v>3</v>
      </c>
      <c r="AC33" s="1">
        <f t="shared" si="8"/>
        <v>2</v>
      </c>
      <c r="AD33" s="1">
        <f t="shared" si="9"/>
        <v>3</v>
      </c>
    </row>
    <row r="34" spans="1:30" x14ac:dyDescent="0.25">
      <c r="A34" s="1" t="s">
        <v>67</v>
      </c>
      <c r="B34" s="1">
        <v>5</v>
      </c>
      <c r="C34" s="1" t="s">
        <v>36</v>
      </c>
      <c r="D34" s="1" t="s">
        <v>66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>
        <v>3</v>
      </c>
      <c r="O34" s="1">
        <v>3</v>
      </c>
      <c r="P34" s="1">
        <v>3</v>
      </c>
      <c r="Q34" s="1">
        <v>3</v>
      </c>
      <c r="R34" s="1">
        <v>3</v>
      </c>
      <c r="S34" s="1">
        <v>3</v>
      </c>
      <c r="T34" s="1">
        <f>SUM(E34:S34)</f>
        <v>45</v>
      </c>
      <c r="U34" s="1">
        <f t="shared" ref="U34:U65" si="11">SUM(O34:S34)</f>
        <v>15</v>
      </c>
      <c r="V34" s="1">
        <f t="shared" ref="V34:V65" si="12">T34+U34</f>
        <v>60</v>
      </c>
      <c r="W34" s="1">
        <f t="shared" ref="W34:W65" si="13">AVERAGE(E34:N34)</f>
        <v>3</v>
      </c>
      <c r="X34" s="1">
        <f t="shared" ref="X34:X65" si="14">AVERAGE(O34:S34)</f>
        <v>3</v>
      </c>
      <c r="Y34" s="1" t="str">
        <f t="shared" ref="Y34:Y65" si="15">IF(V34&lt;=16,"Baja",IF(V34&lt;=23,"Media","Alta"))</f>
        <v>Alta</v>
      </c>
      <c r="Z34" s="1" t="str">
        <f t="shared" ref="Z34:Z65" si="16">IF(W34&lt;=8,"Baja",IF(W34&lt;=11,"Media","Alta"))</f>
        <v>Baja</v>
      </c>
      <c r="AA34" s="1">
        <f t="shared" ref="AA34:AA65" si="17">AVERAGE(K34,M34,Q34)</f>
        <v>3</v>
      </c>
      <c r="AB34" s="1">
        <f t="shared" ref="AB34:AB65" si="18">AVERAGE(G34,H34,P34)</f>
        <v>3</v>
      </c>
      <c r="AC34" s="1">
        <f t="shared" ref="AC34:AC65" si="19">3-AVERAGE(E34:N34,O34:S34)/3</f>
        <v>2</v>
      </c>
      <c r="AD34" s="1">
        <f t="shared" ref="AD34:AD65" si="20">AVERAGE(F34,J34,N34,S34)</f>
        <v>3</v>
      </c>
    </row>
    <row r="35" spans="1:30" x14ac:dyDescent="0.25">
      <c r="A35" s="1" t="s">
        <v>68</v>
      </c>
      <c r="B35" s="1">
        <v>7</v>
      </c>
      <c r="C35" s="1" t="s">
        <v>36</v>
      </c>
      <c r="D35" s="1" t="s">
        <v>66</v>
      </c>
      <c r="E35" s="1">
        <v>2</v>
      </c>
      <c r="F35" s="1">
        <v>3</v>
      </c>
      <c r="G35" s="1">
        <v>3</v>
      </c>
      <c r="H35" s="1">
        <v>3</v>
      </c>
      <c r="I35" s="1">
        <v>3</v>
      </c>
      <c r="J35" s="1">
        <v>2</v>
      </c>
      <c r="K35" s="1">
        <v>2</v>
      </c>
      <c r="L35" s="1">
        <v>3</v>
      </c>
      <c r="M35" s="1">
        <v>2</v>
      </c>
      <c r="N35" s="1">
        <v>3</v>
      </c>
      <c r="O35" s="1">
        <v>3</v>
      </c>
      <c r="P35" s="1">
        <v>3</v>
      </c>
      <c r="Q35" s="1">
        <v>2</v>
      </c>
      <c r="R35" s="1">
        <v>3</v>
      </c>
      <c r="S35" s="1">
        <v>3</v>
      </c>
      <c r="T35" s="1">
        <f>SUM(E35:S35)</f>
        <v>40</v>
      </c>
      <c r="U35" s="1">
        <f t="shared" si="11"/>
        <v>14</v>
      </c>
      <c r="V35" s="1">
        <f t="shared" si="12"/>
        <v>54</v>
      </c>
      <c r="W35" s="1">
        <f t="shared" si="13"/>
        <v>2.6</v>
      </c>
      <c r="X35" s="1">
        <f t="shared" si="14"/>
        <v>2.8</v>
      </c>
      <c r="Y35" s="1" t="str">
        <f t="shared" si="15"/>
        <v>Alta</v>
      </c>
      <c r="Z35" s="1" t="str">
        <f t="shared" si="16"/>
        <v>Baja</v>
      </c>
      <c r="AA35" s="1">
        <f t="shared" si="17"/>
        <v>2</v>
      </c>
      <c r="AB35" s="1">
        <f t="shared" si="18"/>
        <v>3</v>
      </c>
      <c r="AC35" s="1">
        <f t="shared" si="19"/>
        <v>2.1111111111111112</v>
      </c>
      <c r="AD35" s="1">
        <f t="shared" si="20"/>
        <v>2.75</v>
      </c>
    </row>
    <row r="36" spans="1:30" x14ac:dyDescent="0.25">
      <c r="A36" s="1" t="s">
        <v>69</v>
      </c>
      <c r="B36" s="1">
        <v>8</v>
      </c>
      <c r="C36" s="1" t="s">
        <v>36</v>
      </c>
      <c r="D36" s="1" t="s">
        <v>66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3</v>
      </c>
      <c r="K36" s="1">
        <v>3</v>
      </c>
      <c r="L36" s="1">
        <v>3</v>
      </c>
      <c r="M36" s="1">
        <v>3</v>
      </c>
      <c r="N36" s="1">
        <v>3</v>
      </c>
      <c r="O36" s="1">
        <v>3</v>
      </c>
      <c r="P36" s="1">
        <v>3</v>
      </c>
      <c r="Q36" s="1">
        <v>3</v>
      </c>
      <c r="R36" s="1">
        <v>3</v>
      </c>
      <c r="S36" s="1">
        <v>3</v>
      </c>
      <c r="T36" s="1">
        <f>SUM(E36:S36)</f>
        <v>45</v>
      </c>
      <c r="U36" s="1">
        <f t="shared" si="11"/>
        <v>15</v>
      </c>
      <c r="V36" s="1">
        <f t="shared" si="12"/>
        <v>60</v>
      </c>
      <c r="W36" s="1">
        <f t="shared" si="13"/>
        <v>3</v>
      </c>
      <c r="X36" s="1">
        <f t="shared" si="14"/>
        <v>3</v>
      </c>
      <c r="Y36" s="1" t="str">
        <f t="shared" si="15"/>
        <v>Alta</v>
      </c>
      <c r="Z36" s="1" t="str">
        <f t="shared" si="16"/>
        <v>Baja</v>
      </c>
      <c r="AA36" s="1">
        <f t="shared" si="17"/>
        <v>3</v>
      </c>
      <c r="AB36" s="1">
        <f t="shared" si="18"/>
        <v>3</v>
      </c>
      <c r="AC36" s="1">
        <f t="shared" si="19"/>
        <v>2</v>
      </c>
      <c r="AD36" s="1">
        <f t="shared" si="20"/>
        <v>3</v>
      </c>
    </row>
    <row r="37" spans="1:30" x14ac:dyDescent="0.25">
      <c r="A37" s="1" t="s">
        <v>70</v>
      </c>
      <c r="B37" s="1">
        <v>10</v>
      </c>
      <c r="C37" s="1" t="s">
        <v>36</v>
      </c>
      <c r="D37" s="1" t="s">
        <v>66</v>
      </c>
      <c r="E37" s="1">
        <v>3</v>
      </c>
      <c r="F37" s="1">
        <v>2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2</v>
      </c>
      <c r="M37" s="1">
        <v>3</v>
      </c>
      <c r="N37" s="1">
        <v>3</v>
      </c>
      <c r="O37" s="1">
        <v>3</v>
      </c>
      <c r="P37" s="1">
        <v>3</v>
      </c>
      <c r="Q37" s="1">
        <v>2</v>
      </c>
      <c r="R37" s="1">
        <v>3</v>
      </c>
      <c r="S37" s="1">
        <v>3</v>
      </c>
      <c r="T37" s="1">
        <f>SUM(E37:S37)</f>
        <v>42</v>
      </c>
      <c r="U37" s="1">
        <f t="shared" si="11"/>
        <v>14</v>
      </c>
      <c r="V37" s="1">
        <f t="shared" si="12"/>
        <v>56</v>
      </c>
      <c r="W37" s="1">
        <f t="shared" si="13"/>
        <v>2.8</v>
      </c>
      <c r="X37" s="1">
        <f t="shared" si="14"/>
        <v>2.8</v>
      </c>
      <c r="Y37" s="1" t="str">
        <f t="shared" si="15"/>
        <v>Alta</v>
      </c>
      <c r="Z37" s="1" t="str">
        <f t="shared" si="16"/>
        <v>Baja</v>
      </c>
      <c r="AA37" s="1">
        <f t="shared" si="17"/>
        <v>2.6666666666666665</v>
      </c>
      <c r="AB37" s="1">
        <f t="shared" si="18"/>
        <v>3</v>
      </c>
      <c r="AC37" s="1">
        <f t="shared" si="19"/>
        <v>2.0666666666666669</v>
      </c>
      <c r="AD37" s="1">
        <f t="shared" si="20"/>
        <v>2.75</v>
      </c>
    </row>
    <row r="38" spans="1:30" x14ac:dyDescent="0.25">
      <c r="A38" s="1" t="s">
        <v>71</v>
      </c>
      <c r="B38" s="1">
        <v>7</v>
      </c>
      <c r="C38" s="1" t="s">
        <v>36</v>
      </c>
      <c r="D38" s="1" t="s">
        <v>66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3</v>
      </c>
      <c r="P38" s="1">
        <v>2</v>
      </c>
      <c r="Q38" s="1">
        <v>3</v>
      </c>
      <c r="R38" s="1">
        <v>1</v>
      </c>
      <c r="S38" s="1">
        <v>3</v>
      </c>
      <c r="T38" s="1">
        <f>SUM(E38:S38)</f>
        <v>37</v>
      </c>
      <c r="U38" s="1">
        <f t="shared" si="11"/>
        <v>12</v>
      </c>
      <c r="V38" s="1">
        <f t="shared" si="12"/>
        <v>49</v>
      </c>
      <c r="W38" s="1">
        <f t="shared" si="13"/>
        <v>2.5</v>
      </c>
      <c r="X38" s="1">
        <f t="shared" si="14"/>
        <v>2.4</v>
      </c>
      <c r="Y38" s="1" t="str">
        <f t="shared" si="15"/>
        <v>Alta</v>
      </c>
      <c r="Z38" s="1" t="str">
        <f t="shared" si="16"/>
        <v>Baja</v>
      </c>
      <c r="AA38" s="1">
        <f t="shared" si="17"/>
        <v>2.3333333333333335</v>
      </c>
      <c r="AB38" s="1">
        <f t="shared" si="18"/>
        <v>2.6666666666666665</v>
      </c>
      <c r="AC38" s="1">
        <f t="shared" si="19"/>
        <v>2.1777777777777776</v>
      </c>
      <c r="AD38" s="1">
        <f t="shared" si="20"/>
        <v>2.5</v>
      </c>
    </row>
    <row r="39" spans="1:30" x14ac:dyDescent="0.25">
      <c r="A39" s="1" t="s">
        <v>72</v>
      </c>
      <c r="B39" s="1">
        <v>8</v>
      </c>
      <c r="C39" s="1" t="s">
        <v>36</v>
      </c>
      <c r="D39" s="1" t="s">
        <v>66</v>
      </c>
      <c r="E39" s="1">
        <v>3</v>
      </c>
      <c r="F39" s="1">
        <v>2</v>
      </c>
      <c r="G39" s="1">
        <v>2</v>
      </c>
      <c r="H39" s="1">
        <v>2</v>
      </c>
      <c r="I39" s="1">
        <v>2</v>
      </c>
      <c r="J39" s="1">
        <v>3</v>
      </c>
      <c r="K39" s="1">
        <v>2</v>
      </c>
      <c r="L39" s="1">
        <v>3</v>
      </c>
      <c r="M39" s="1">
        <v>3</v>
      </c>
      <c r="N39" s="1">
        <v>1</v>
      </c>
      <c r="O39" s="1">
        <v>3</v>
      </c>
      <c r="P39" s="1">
        <v>3</v>
      </c>
      <c r="Q39" s="1">
        <v>2</v>
      </c>
      <c r="R39" s="1">
        <v>2</v>
      </c>
      <c r="S39" s="1">
        <v>2</v>
      </c>
      <c r="T39" s="1">
        <f>SUM(E39:S39)</f>
        <v>35</v>
      </c>
      <c r="U39" s="1">
        <f t="shared" si="11"/>
        <v>12</v>
      </c>
      <c r="V39" s="1">
        <f t="shared" si="12"/>
        <v>47</v>
      </c>
      <c r="W39" s="1">
        <f t="shared" si="13"/>
        <v>2.2999999999999998</v>
      </c>
      <c r="X39" s="1">
        <f t="shared" si="14"/>
        <v>2.4</v>
      </c>
      <c r="Y39" s="1" t="str">
        <f t="shared" si="15"/>
        <v>Alta</v>
      </c>
      <c r="Z39" s="1" t="str">
        <f t="shared" si="16"/>
        <v>Baja</v>
      </c>
      <c r="AA39" s="1">
        <f t="shared" si="17"/>
        <v>2.3333333333333335</v>
      </c>
      <c r="AB39" s="1">
        <f t="shared" si="18"/>
        <v>2.3333333333333335</v>
      </c>
      <c r="AC39" s="1">
        <f t="shared" si="19"/>
        <v>2.2222222222222223</v>
      </c>
      <c r="AD39" s="1">
        <f t="shared" si="20"/>
        <v>2</v>
      </c>
    </row>
    <row r="40" spans="1:30" x14ac:dyDescent="0.25">
      <c r="A40" s="1" t="s">
        <v>73</v>
      </c>
      <c r="B40" s="1">
        <v>10</v>
      </c>
      <c r="C40" s="1" t="s">
        <v>36</v>
      </c>
      <c r="D40" s="1" t="s">
        <v>66</v>
      </c>
      <c r="E40" s="1">
        <v>2</v>
      </c>
      <c r="F40" s="1">
        <v>2</v>
      </c>
      <c r="G40" s="1">
        <v>3</v>
      </c>
      <c r="H40" s="1">
        <v>3</v>
      </c>
      <c r="I40" s="1">
        <v>2</v>
      </c>
      <c r="J40" s="1">
        <v>3</v>
      </c>
      <c r="K40" s="1">
        <v>2</v>
      </c>
      <c r="L40" s="1">
        <v>3</v>
      </c>
      <c r="M40" s="1">
        <v>2</v>
      </c>
      <c r="N40" s="1">
        <v>2</v>
      </c>
      <c r="O40" s="1">
        <v>3</v>
      </c>
      <c r="P40" s="1">
        <v>2</v>
      </c>
      <c r="Q40" s="1">
        <v>2</v>
      </c>
      <c r="R40" s="1">
        <v>2</v>
      </c>
      <c r="S40" s="1">
        <v>3</v>
      </c>
      <c r="T40" s="1">
        <f>SUM(E40:S40)</f>
        <v>36</v>
      </c>
      <c r="U40" s="1">
        <f t="shared" si="11"/>
        <v>12</v>
      </c>
      <c r="V40" s="1">
        <f t="shared" si="12"/>
        <v>48</v>
      </c>
      <c r="W40" s="1">
        <f t="shared" si="13"/>
        <v>2.4</v>
      </c>
      <c r="X40" s="1">
        <f t="shared" si="14"/>
        <v>2.4</v>
      </c>
      <c r="Y40" s="1" t="str">
        <f t="shared" si="15"/>
        <v>Alta</v>
      </c>
      <c r="Z40" s="1" t="str">
        <f t="shared" si="16"/>
        <v>Baja</v>
      </c>
      <c r="AA40" s="1">
        <f t="shared" si="17"/>
        <v>2</v>
      </c>
      <c r="AB40" s="1">
        <f t="shared" si="18"/>
        <v>2.6666666666666665</v>
      </c>
      <c r="AC40" s="1">
        <f t="shared" si="19"/>
        <v>2.2000000000000002</v>
      </c>
      <c r="AD40" s="1">
        <f t="shared" si="20"/>
        <v>2.5</v>
      </c>
    </row>
    <row r="41" spans="1:30" x14ac:dyDescent="0.25">
      <c r="A41" s="1" t="s">
        <v>74</v>
      </c>
      <c r="B41" s="1">
        <v>11</v>
      </c>
      <c r="C41" s="1" t="s">
        <v>36</v>
      </c>
      <c r="D41" s="1" t="s">
        <v>66</v>
      </c>
      <c r="E41" s="1">
        <v>2</v>
      </c>
      <c r="F41" s="1">
        <v>2</v>
      </c>
      <c r="G41" s="1">
        <v>3</v>
      </c>
      <c r="H41" s="1">
        <v>3</v>
      </c>
      <c r="I41" s="1">
        <v>3</v>
      </c>
      <c r="J41" s="1">
        <v>2</v>
      </c>
      <c r="K41" s="1">
        <v>1</v>
      </c>
      <c r="L41" s="1">
        <v>2</v>
      </c>
      <c r="M41" s="1">
        <v>2</v>
      </c>
      <c r="N41" s="1">
        <v>2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f>SUM(E41:S41)</f>
        <v>34</v>
      </c>
      <c r="U41" s="1">
        <f t="shared" si="11"/>
        <v>12</v>
      </c>
      <c r="V41" s="1">
        <f t="shared" si="12"/>
        <v>46</v>
      </c>
      <c r="W41" s="1">
        <f t="shared" si="13"/>
        <v>2.2000000000000002</v>
      </c>
      <c r="X41" s="1">
        <f t="shared" si="14"/>
        <v>2.4</v>
      </c>
      <c r="Y41" s="1" t="str">
        <f t="shared" si="15"/>
        <v>Alta</v>
      </c>
      <c r="Z41" s="1" t="str">
        <f t="shared" si="16"/>
        <v>Baja</v>
      </c>
      <c r="AA41" s="1">
        <f t="shared" si="17"/>
        <v>1.6666666666666667</v>
      </c>
      <c r="AB41" s="1">
        <f t="shared" si="18"/>
        <v>2.6666666666666665</v>
      </c>
      <c r="AC41" s="1">
        <f t="shared" si="19"/>
        <v>2.2444444444444445</v>
      </c>
      <c r="AD41" s="1">
        <f t="shared" si="20"/>
        <v>2.25</v>
      </c>
    </row>
    <row r="42" spans="1:30" x14ac:dyDescent="0.25">
      <c r="A42" s="1" t="s">
        <v>75</v>
      </c>
      <c r="B42" s="1">
        <v>11</v>
      </c>
      <c r="C42" s="1" t="s">
        <v>36</v>
      </c>
      <c r="D42" s="1" t="s">
        <v>66</v>
      </c>
      <c r="E42" s="1">
        <v>3</v>
      </c>
      <c r="F42" s="1">
        <v>3</v>
      </c>
      <c r="G42" s="1">
        <v>3</v>
      </c>
      <c r="H42" s="1">
        <v>2</v>
      </c>
      <c r="I42" s="1">
        <v>3</v>
      </c>
      <c r="J42" s="1">
        <v>3</v>
      </c>
      <c r="K42" s="1">
        <v>3</v>
      </c>
      <c r="L42" s="1">
        <v>2</v>
      </c>
      <c r="M42" s="1">
        <v>2</v>
      </c>
      <c r="N42" s="1">
        <v>2</v>
      </c>
      <c r="O42" s="1">
        <v>3</v>
      </c>
      <c r="P42" s="1">
        <v>2</v>
      </c>
      <c r="Q42" s="1">
        <v>3</v>
      </c>
      <c r="R42" s="1">
        <v>3</v>
      </c>
      <c r="S42" s="1">
        <v>3</v>
      </c>
      <c r="T42" s="1">
        <f>SUM(E42:S42)</f>
        <v>40</v>
      </c>
      <c r="U42" s="1">
        <f t="shared" si="11"/>
        <v>14</v>
      </c>
      <c r="V42" s="1">
        <f t="shared" si="12"/>
        <v>54</v>
      </c>
      <c r="W42" s="1">
        <f t="shared" si="13"/>
        <v>2.6</v>
      </c>
      <c r="X42" s="1">
        <f t="shared" si="14"/>
        <v>2.8</v>
      </c>
      <c r="Y42" s="1" t="str">
        <f t="shared" si="15"/>
        <v>Alta</v>
      </c>
      <c r="Z42" s="1" t="str">
        <f t="shared" si="16"/>
        <v>Baja</v>
      </c>
      <c r="AA42" s="1">
        <f t="shared" si="17"/>
        <v>2.6666666666666665</v>
      </c>
      <c r="AB42" s="1">
        <f t="shared" si="18"/>
        <v>2.3333333333333335</v>
      </c>
      <c r="AC42" s="1">
        <f t="shared" si="19"/>
        <v>2.1111111111111112</v>
      </c>
      <c r="AD42" s="1">
        <f t="shared" si="20"/>
        <v>2.75</v>
      </c>
    </row>
    <row r="43" spans="1:30" x14ac:dyDescent="0.25">
      <c r="A43" s="1" t="s">
        <v>76</v>
      </c>
      <c r="B43" s="1">
        <v>6</v>
      </c>
      <c r="C43" s="1" t="s">
        <v>36</v>
      </c>
      <c r="D43" s="1" t="s">
        <v>66</v>
      </c>
      <c r="E43" s="1">
        <v>3</v>
      </c>
      <c r="F43" s="1">
        <v>2</v>
      </c>
      <c r="G43" s="1">
        <v>1</v>
      </c>
      <c r="H43" s="1">
        <v>3</v>
      </c>
      <c r="I43" s="1">
        <v>2</v>
      </c>
      <c r="J43" s="1">
        <v>1</v>
      </c>
      <c r="K43" s="1">
        <v>3</v>
      </c>
      <c r="L43" s="1">
        <v>2</v>
      </c>
      <c r="M43" s="1">
        <v>1</v>
      </c>
      <c r="N43" s="1">
        <v>2</v>
      </c>
      <c r="O43" s="1">
        <v>2</v>
      </c>
      <c r="P43" s="1">
        <v>1</v>
      </c>
      <c r="Q43" s="1">
        <v>3</v>
      </c>
      <c r="R43" s="1">
        <v>3</v>
      </c>
      <c r="S43" s="1">
        <v>2</v>
      </c>
      <c r="T43" s="1">
        <f>SUM(E43:S43)</f>
        <v>31</v>
      </c>
      <c r="U43" s="1">
        <f t="shared" si="11"/>
        <v>11</v>
      </c>
      <c r="V43" s="1">
        <f t="shared" si="12"/>
        <v>42</v>
      </c>
      <c r="W43" s="1">
        <f t="shared" si="13"/>
        <v>2</v>
      </c>
      <c r="X43" s="1">
        <f t="shared" si="14"/>
        <v>2.2000000000000002</v>
      </c>
      <c r="Y43" s="1" t="str">
        <f t="shared" si="15"/>
        <v>Alta</v>
      </c>
      <c r="Z43" s="1" t="str">
        <f t="shared" si="16"/>
        <v>Baja</v>
      </c>
      <c r="AA43" s="1">
        <f t="shared" si="17"/>
        <v>2.3333333333333335</v>
      </c>
      <c r="AB43" s="1">
        <f t="shared" si="18"/>
        <v>1.6666666666666667</v>
      </c>
      <c r="AC43" s="1">
        <f t="shared" si="19"/>
        <v>2.3111111111111109</v>
      </c>
      <c r="AD43" s="1">
        <f t="shared" si="20"/>
        <v>1.75</v>
      </c>
    </row>
    <row r="44" spans="1:30" x14ac:dyDescent="0.25">
      <c r="A44" s="1" t="s">
        <v>77</v>
      </c>
      <c r="B44" s="1">
        <v>7</v>
      </c>
      <c r="C44" s="1" t="s">
        <v>36</v>
      </c>
      <c r="D44" s="1" t="s">
        <v>66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2</v>
      </c>
      <c r="L44" s="1">
        <v>3</v>
      </c>
      <c r="M44" s="1">
        <v>2</v>
      </c>
      <c r="N44" s="1">
        <v>3</v>
      </c>
      <c r="O44" s="1">
        <v>2</v>
      </c>
      <c r="P44" s="1">
        <v>3</v>
      </c>
      <c r="Q44" s="1">
        <v>3</v>
      </c>
      <c r="R44" s="1">
        <v>3</v>
      </c>
      <c r="S44" s="1">
        <v>2</v>
      </c>
      <c r="T44" s="1">
        <f>SUM(E44:S44)</f>
        <v>41</v>
      </c>
      <c r="U44" s="1">
        <f t="shared" si="11"/>
        <v>13</v>
      </c>
      <c r="V44" s="1">
        <f t="shared" si="12"/>
        <v>54</v>
      </c>
      <c r="W44" s="1">
        <f t="shared" si="13"/>
        <v>2.8</v>
      </c>
      <c r="X44" s="1">
        <f t="shared" si="14"/>
        <v>2.6</v>
      </c>
      <c r="Y44" s="1" t="str">
        <f t="shared" si="15"/>
        <v>Alta</v>
      </c>
      <c r="Z44" s="1" t="str">
        <f t="shared" si="16"/>
        <v>Baja</v>
      </c>
      <c r="AA44" s="1">
        <f t="shared" si="17"/>
        <v>2.3333333333333335</v>
      </c>
      <c r="AB44" s="1">
        <f t="shared" si="18"/>
        <v>3</v>
      </c>
      <c r="AC44" s="1">
        <f t="shared" si="19"/>
        <v>2.088888888888889</v>
      </c>
      <c r="AD44" s="1">
        <f t="shared" si="20"/>
        <v>2.75</v>
      </c>
    </row>
    <row r="45" spans="1:30" x14ac:dyDescent="0.25">
      <c r="A45" s="1" t="s">
        <v>78</v>
      </c>
      <c r="B45" s="1">
        <v>9</v>
      </c>
      <c r="C45" s="1" t="s">
        <v>36</v>
      </c>
      <c r="D45" s="1" t="s">
        <v>66</v>
      </c>
      <c r="E45" s="1">
        <v>3</v>
      </c>
      <c r="F45" s="1">
        <v>3</v>
      </c>
      <c r="G45" s="1">
        <v>3</v>
      </c>
      <c r="H45" s="1">
        <v>2</v>
      </c>
      <c r="I45" s="1">
        <v>3</v>
      </c>
      <c r="J45" s="1">
        <v>2</v>
      </c>
      <c r="K45" s="1">
        <v>3</v>
      </c>
      <c r="L45" s="1">
        <v>3</v>
      </c>
      <c r="M45" s="1">
        <v>2</v>
      </c>
      <c r="N45" s="1">
        <v>3</v>
      </c>
      <c r="O45" s="1">
        <v>3</v>
      </c>
      <c r="P45" s="1">
        <v>3</v>
      </c>
      <c r="Q45" s="1">
        <v>3</v>
      </c>
      <c r="R45" s="1">
        <v>3</v>
      </c>
      <c r="S45" s="1">
        <v>3</v>
      </c>
      <c r="T45" s="1">
        <f>SUM(E45:S45)</f>
        <v>42</v>
      </c>
      <c r="U45" s="1">
        <f t="shared" si="11"/>
        <v>15</v>
      </c>
      <c r="V45" s="1">
        <f t="shared" si="12"/>
        <v>57</v>
      </c>
      <c r="W45" s="1">
        <f t="shared" si="13"/>
        <v>2.7</v>
      </c>
      <c r="X45" s="1">
        <f t="shared" si="14"/>
        <v>3</v>
      </c>
      <c r="Y45" s="1" t="str">
        <f t="shared" si="15"/>
        <v>Alta</v>
      </c>
      <c r="Z45" s="1" t="str">
        <f t="shared" si="16"/>
        <v>Baja</v>
      </c>
      <c r="AA45" s="1">
        <f t="shared" si="17"/>
        <v>2.6666666666666665</v>
      </c>
      <c r="AB45" s="1">
        <f t="shared" si="18"/>
        <v>2.6666666666666665</v>
      </c>
      <c r="AC45" s="1">
        <f t="shared" si="19"/>
        <v>2.0666666666666669</v>
      </c>
      <c r="AD45" s="1">
        <f t="shared" si="20"/>
        <v>2.75</v>
      </c>
    </row>
    <row r="46" spans="1:30" x14ac:dyDescent="0.25">
      <c r="A46" s="1" t="s">
        <v>79</v>
      </c>
      <c r="B46" s="1">
        <v>9</v>
      </c>
      <c r="C46" s="1" t="s">
        <v>36</v>
      </c>
      <c r="D46" s="1" t="s">
        <v>66</v>
      </c>
      <c r="E46" s="1">
        <v>3</v>
      </c>
      <c r="F46" s="1">
        <v>2</v>
      </c>
      <c r="G46" s="1">
        <v>3</v>
      </c>
      <c r="H46" s="1">
        <v>3</v>
      </c>
      <c r="I46" s="1">
        <v>2</v>
      </c>
      <c r="J46" s="1">
        <v>2</v>
      </c>
      <c r="K46" s="1">
        <v>2</v>
      </c>
      <c r="L46" s="1">
        <v>3</v>
      </c>
      <c r="M46" s="1">
        <v>2</v>
      </c>
      <c r="N46" s="1">
        <v>3</v>
      </c>
      <c r="O46" s="1">
        <v>3</v>
      </c>
      <c r="P46" s="1">
        <v>2</v>
      </c>
      <c r="Q46" s="1">
        <v>2</v>
      </c>
      <c r="R46" s="1">
        <v>3</v>
      </c>
      <c r="S46" s="1">
        <v>2</v>
      </c>
      <c r="T46" s="1">
        <f>SUM(E46:S46)</f>
        <v>37</v>
      </c>
      <c r="U46" s="1">
        <f t="shared" si="11"/>
        <v>12</v>
      </c>
      <c r="V46" s="1">
        <f t="shared" si="12"/>
        <v>49</v>
      </c>
      <c r="W46" s="1">
        <f t="shared" si="13"/>
        <v>2.5</v>
      </c>
      <c r="X46" s="1">
        <f t="shared" si="14"/>
        <v>2.4</v>
      </c>
      <c r="Y46" s="1" t="str">
        <f t="shared" si="15"/>
        <v>Alta</v>
      </c>
      <c r="Z46" s="1" t="str">
        <f t="shared" si="16"/>
        <v>Baja</v>
      </c>
      <c r="AA46" s="1">
        <f t="shared" si="17"/>
        <v>2</v>
      </c>
      <c r="AB46" s="1">
        <f t="shared" si="18"/>
        <v>2.6666666666666665</v>
      </c>
      <c r="AC46" s="1">
        <f t="shared" si="19"/>
        <v>2.1777777777777776</v>
      </c>
      <c r="AD46" s="1">
        <f t="shared" si="20"/>
        <v>2.25</v>
      </c>
    </row>
    <row r="47" spans="1:30" x14ac:dyDescent="0.25">
      <c r="A47" s="1" t="s">
        <v>80</v>
      </c>
      <c r="B47" s="1">
        <v>9</v>
      </c>
      <c r="C47" s="1" t="s">
        <v>36</v>
      </c>
      <c r="D47" s="1" t="s">
        <v>66</v>
      </c>
      <c r="E47" s="1">
        <v>3</v>
      </c>
      <c r="F47" s="1">
        <v>3</v>
      </c>
      <c r="G47" s="1">
        <v>3</v>
      </c>
      <c r="H47" s="1">
        <v>2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 s="1">
        <v>3</v>
      </c>
      <c r="P47" s="1">
        <v>3</v>
      </c>
      <c r="Q47" s="1">
        <v>3</v>
      </c>
      <c r="R47" s="1">
        <v>3</v>
      </c>
      <c r="S47" s="1">
        <v>3</v>
      </c>
      <c r="T47" s="1">
        <f>SUM(E47:S47)</f>
        <v>44</v>
      </c>
      <c r="U47" s="1">
        <f t="shared" si="11"/>
        <v>15</v>
      </c>
      <c r="V47" s="1">
        <f t="shared" si="12"/>
        <v>59</v>
      </c>
      <c r="W47" s="1">
        <f t="shared" si="13"/>
        <v>2.9</v>
      </c>
      <c r="X47" s="1">
        <f t="shared" si="14"/>
        <v>3</v>
      </c>
      <c r="Y47" s="1" t="str">
        <f t="shared" si="15"/>
        <v>Alta</v>
      </c>
      <c r="Z47" s="1" t="str">
        <f t="shared" si="16"/>
        <v>Baja</v>
      </c>
      <c r="AA47" s="1">
        <f t="shared" si="17"/>
        <v>3</v>
      </c>
      <c r="AB47" s="1">
        <f t="shared" si="18"/>
        <v>2.6666666666666665</v>
      </c>
      <c r="AC47" s="1">
        <f t="shared" si="19"/>
        <v>2.0222222222222221</v>
      </c>
      <c r="AD47" s="1">
        <f t="shared" si="20"/>
        <v>3</v>
      </c>
    </row>
    <row r="48" spans="1:30" x14ac:dyDescent="0.25">
      <c r="A48" s="1" t="s">
        <v>81</v>
      </c>
      <c r="B48" s="1">
        <v>9</v>
      </c>
      <c r="C48" s="1" t="s">
        <v>36</v>
      </c>
      <c r="D48" s="1" t="s">
        <v>66</v>
      </c>
      <c r="E48" s="1">
        <v>3</v>
      </c>
      <c r="F48" s="1">
        <v>3</v>
      </c>
      <c r="G48" s="1">
        <v>3</v>
      </c>
      <c r="H48" s="1">
        <v>2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  <c r="T48" s="1">
        <f>SUM(E48:S48)</f>
        <v>44</v>
      </c>
      <c r="U48" s="1">
        <f t="shared" si="11"/>
        <v>15</v>
      </c>
      <c r="V48" s="1">
        <f t="shared" si="12"/>
        <v>59</v>
      </c>
      <c r="W48" s="1">
        <f t="shared" si="13"/>
        <v>2.9</v>
      </c>
      <c r="X48" s="1">
        <f t="shared" si="14"/>
        <v>3</v>
      </c>
      <c r="Y48" s="1" t="str">
        <f t="shared" si="15"/>
        <v>Alta</v>
      </c>
      <c r="Z48" s="1" t="str">
        <f t="shared" si="16"/>
        <v>Baja</v>
      </c>
      <c r="AA48" s="1">
        <f t="shared" si="17"/>
        <v>3</v>
      </c>
      <c r="AB48" s="1">
        <f t="shared" si="18"/>
        <v>2.6666666666666665</v>
      </c>
      <c r="AC48" s="1">
        <f t="shared" si="19"/>
        <v>2.0222222222222221</v>
      </c>
      <c r="AD48" s="1">
        <f t="shared" si="20"/>
        <v>3</v>
      </c>
    </row>
    <row r="49" spans="1:30" x14ac:dyDescent="0.25">
      <c r="A49" s="1" t="s">
        <v>82</v>
      </c>
      <c r="B49" s="2">
        <v>6</v>
      </c>
      <c r="C49" s="1" t="s">
        <v>36</v>
      </c>
      <c r="D49" s="1" t="s">
        <v>66</v>
      </c>
      <c r="E49" s="1">
        <v>3</v>
      </c>
      <c r="F49" s="1">
        <v>3</v>
      </c>
      <c r="G49" s="1">
        <v>2</v>
      </c>
      <c r="H49" s="1">
        <v>2</v>
      </c>
      <c r="I49" s="1">
        <v>2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2</v>
      </c>
      <c r="Q49" s="1">
        <v>2</v>
      </c>
      <c r="R49" s="1">
        <v>3</v>
      </c>
      <c r="S49" s="1">
        <v>3</v>
      </c>
      <c r="T49" s="1">
        <f>SUM(E49:S49)</f>
        <v>40</v>
      </c>
      <c r="U49" s="1">
        <f t="shared" si="11"/>
        <v>13</v>
      </c>
      <c r="V49" s="1">
        <f t="shared" si="12"/>
        <v>53</v>
      </c>
      <c r="W49" s="1">
        <f t="shared" si="13"/>
        <v>2.7</v>
      </c>
      <c r="X49" s="1">
        <f t="shared" si="14"/>
        <v>2.6</v>
      </c>
      <c r="Y49" s="1" t="str">
        <f t="shared" si="15"/>
        <v>Alta</v>
      </c>
      <c r="Z49" s="1" t="str">
        <f t="shared" si="16"/>
        <v>Baja</v>
      </c>
      <c r="AA49" s="1">
        <f t="shared" si="17"/>
        <v>2.6666666666666665</v>
      </c>
      <c r="AB49" s="1">
        <f t="shared" si="18"/>
        <v>2</v>
      </c>
      <c r="AC49" s="1">
        <f t="shared" si="19"/>
        <v>2.1111111111111112</v>
      </c>
      <c r="AD49" s="1">
        <f t="shared" si="20"/>
        <v>3</v>
      </c>
    </row>
    <row r="50" spans="1:30" x14ac:dyDescent="0.25">
      <c r="A50" s="1" t="s">
        <v>83</v>
      </c>
      <c r="B50" s="1">
        <v>11</v>
      </c>
      <c r="C50" s="1" t="s">
        <v>36</v>
      </c>
      <c r="D50" s="1" t="s">
        <v>66</v>
      </c>
      <c r="E50" s="1">
        <v>3</v>
      </c>
      <c r="F50" s="1">
        <v>3</v>
      </c>
      <c r="G50" s="1">
        <v>3</v>
      </c>
      <c r="H50" s="1">
        <v>1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2</v>
      </c>
      <c r="Q50" s="1">
        <v>3</v>
      </c>
      <c r="R50" s="1">
        <v>3</v>
      </c>
      <c r="S50" s="1">
        <v>3</v>
      </c>
      <c r="T50" s="1">
        <f>SUM(E50:S50)</f>
        <v>42</v>
      </c>
      <c r="U50" s="1">
        <f t="shared" si="11"/>
        <v>14</v>
      </c>
      <c r="V50" s="1">
        <f t="shared" si="12"/>
        <v>56</v>
      </c>
      <c r="W50" s="1">
        <f t="shared" si="13"/>
        <v>2.8</v>
      </c>
      <c r="X50" s="1">
        <f t="shared" si="14"/>
        <v>2.8</v>
      </c>
      <c r="Y50" s="1" t="str">
        <f t="shared" si="15"/>
        <v>Alta</v>
      </c>
      <c r="Z50" s="1" t="str">
        <f t="shared" si="16"/>
        <v>Baja</v>
      </c>
      <c r="AA50" s="1">
        <f t="shared" si="17"/>
        <v>3</v>
      </c>
      <c r="AB50" s="1">
        <f t="shared" si="18"/>
        <v>2</v>
      </c>
      <c r="AC50" s="1">
        <f t="shared" si="19"/>
        <v>2.0666666666666669</v>
      </c>
      <c r="AD50" s="1">
        <f t="shared" si="20"/>
        <v>3</v>
      </c>
    </row>
    <row r="51" spans="1:30" x14ac:dyDescent="0.25">
      <c r="A51" s="1" t="s">
        <v>84</v>
      </c>
      <c r="B51" s="1">
        <v>11</v>
      </c>
      <c r="C51" s="1" t="s">
        <v>36</v>
      </c>
      <c r="D51" s="1" t="s">
        <v>66</v>
      </c>
      <c r="E51" s="1">
        <v>3</v>
      </c>
      <c r="F51" s="1">
        <v>2</v>
      </c>
      <c r="G51" s="1">
        <v>2</v>
      </c>
      <c r="H51" s="1">
        <v>3</v>
      </c>
      <c r="I51" s="1">
        <v>3</v>
      </c>
      <c r="J51" s="1">
        <v>2</v>
      </c>
      <c r="K51" s="1">
        <v>2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2</v>
      </c>
      <c r="R51" s="1">
        <v>3</v>
      </c>
      <c r="S51" s="1">
        <v>2</v>
      </c>
      <c r="T51" s="1">
        <f>SUM(E51:S51)</f>
        <v>39</v>
      </c>
      <c r="U51" s="1">
        <f t="shared" si="11"/>
        <v>13</v>
      </c>
      <c r="V51" s="1">
        <f t="shared" si="12"/>
        <v>52</v>
      </c>
      <c r="W51" s="1">
        <f t="shared" si="13"/>
        <v>2.6</v>
      </c>
      <c r="X51" s="1">
        <f t="shared" si="14"/>
        <v>2.6</v>
      </c>
      <c r="Y51" s="1" t="str">
        <f t="shared" si="15"/>
        <v>Alta</v>
      </c>
      <c r="Z51" s="1" t="str">
        <f t="shared" si="16"/>
        <v>Baja</v>
      </c>
      <c r="AA51" s="1">
        <f t="shared" si="17"/>
        <v>2.3333333333333335</v>
      </c>
      <c r="AB51" s="1">
        <f t="shared" si="18"/>
        <v>2.6666666666666665</v>
      </c>
      <c r="AC51" s="1">
        <f t="shared" si="19"/>
        <v>2.1333333333333333</v>
      </c>
      <c r="AD51" s="1">
        <f t="shared" si="20"/>
        <v>2.25</v>
      </c>
    </row>
    <row r="52" spans="1:30" x14ac:dyDescent="0.25">
      <c r="A52" s="1" t="s">
        <v>85</v>
      </c>
      <c r="B52" s="1">
        <v>11</v>
      </c>
      <c r="C52" s="1" t="s">
        <v>32</v>
      </c>
      <c r="D52" s="1" t="s">
        <v>66</v>
      </c>
      <c r="E52" s="1">
        <v>3</v>
      </c>
      <c r="F52" s="1">
        <v>2</v>
      </c>
      <c r="G52" s="1">
        <v>3</v>
      </c>
      <c r="H52" s="1">
        <v>3</v>
      </c>
      <c r="I52" s="1">
        <v>1</v>
      </c>
      <c r="J52" s="1">
        <v>2</v>
      </c>
      <c r="K52" s="1">
        <v>2</v>
      </c>
      <c r="L52" s="1">
        <v>2</v>
      </c>
      <c r="M52" s="1">
        <v>3</v>
      </c>
      <c r="N52" s="1">
        <v>3</v>
      </c>
      <c r="O52" s="1">
        <v>3</v>
      </c>
      <c r="P52" s="1">
        <v>2</v>
      </c>
      <c r="Q52" s="1">
        <v>3</v>
      </c>
      <c r="R52" s="1">
        <v>3</v>
      </c>
      <c r="S52" s="1">
        <v>3</v>
      </c>
      <c r="T52" s="1">
        <f>SUM(E52:S52)</f>
        <v>38</v>
      </c>
      <c r="U52" s="1">
        <f t="shared" si="11"/>
        <v>14</v>
      </c>
      <c r="V52" s="1">
        <f t="shared" si="12"/>
        <v>52</v>
      </c>
      <c r="W52" s="1">
        <f t="shared" si="13"/>
        <v>2.4</v>
      </c>
      <c r="X52" s="1">
        <f t="shared" si="14"/>
        <v>2.8</v>
      </c>
      <c r="Y52" s="1" t="str">
        <f t="shared" si="15"/>
        <v>Alta</v>
      </c>
      <c r="Z52" s="1" t="str">
        <f t="shared" si="16"/>
        <v>Baja</v>
      </c>
      <c r="AA52" s="1">
        <f t="shared" si="17"/>
        <v>2.6666666666666665</v>
      </c>
      <c r="AB52" s="1">
        <f t="shared" si="18"/>
        <v>2.6666666666666665</v>
      </c>
      <c r="AC52" s="1">
        <f t="shared" si="19"/>
        <v>2.1555555555555554</v>
      </c>
      <c r="AD52" s="1">
        <f t="shared" si="20"/>
        <v>2.5</v>
      </c>
    </row>
    <row r="53" spans="1:30" x14ac:dyDescent="0.25">
      <c r="A53" s="1" t="s">
        <v>86</v>
      </c>
      <c r="B53" s="1">
        <v>11</v>
      </c>
      <c r="C53" s="1" t="s">
        <v>32</v>
      </c>
      <c r="D53" s="1" t="s">
        <v>66</v>
      </c>
      <c r="E53" s="1">
        <v>2</v>
      </c>
      <c r="F53" s="1">
        <v>3</v>
      </c>
      <c r="G53" s="1">
        <v>3</v>
      </c>
      <c r="H53" s="1">
        <v>2</v>
      </c>
      <c r="I53" s="1">
        <v>3</v>
      </c>
      <c r="J53" s="1">
        <v>3</v>
      </c>
      <c r="K53" s="1">
        <v>3</v>
      </c>
      <c r="L53" s="1">
        <v>2</v>
      </c>
      <c r="M53" s="1">
        <v>3</v>
      </c>
      <c r="N53" s="1">
        <v>3</v>
      </c>
      <c r="O53" s="1">
        <v>3</v>
      </c>
      <c r="P53" s="1">
        <v>2</v>
      </c>
      <c r="Q53" s="1">
        <v>3</v>
      </c>
      <c r="R53" s="1">
        <v>3</v>
      </c>
      <c r="S53" s="1">
        <v>3</v>
      </c>
      <c r="T53" s="1">
        <f>SUM(E53:S53)</f>
        <v>41</v>
      </c>
      <c r="U53" s="1">
        <f t="shared" si="11"/>
        <v>14</v>
      </c>
      <c r="V53" s="1">
        <f t="shared" si="12"/>
        <v>55</v>
      </c>
      <c r="W53" s="1">
        <f t="shared" si="13"/>
        <v>2.7</v>
      </c>
      <c r="X53" s="1">
        <f t="shared" si="14"/>
        <v>2.8</v>
      </c>
      <c r="Y53" s="1" t="str">
        <f t="shared" si="15"/>
        <v>Alta</v>
      </c>
      <c r="Z53" s="1" t="str">
        <f t="shared" si="16"/>
        <v>Baja</v>
      </c>
      <c r="AA53" s="1">
        <f t="shared" si="17"/>
        <v>3</v>
      </c>
      <c r="AB53" s="1">
        <f t="shared" si="18"/>
        <v>2.3333333333333335</v>
      </c>
      <c r="AC53" s="1">
        <f t="shared" si="19"/>
        <v>2.088888888888889</v>
      </c>
      <c r="AD53" s="1">
        <f t="shared" si="20"/>
        <v>3</v>
      </c>
    </row>
    <row r="54" spans="1:30" x14ac:dyDescent="0.25">
      <c r="A54" s="1" t="s">
        <v>88</v>
      </c>
      <c r="B54" s="1">
        <v>11</v>
      </c>
      <c r="C54" s="1" t="s">
        <v>36</v>
      </c>
      <c r="D54" s="1" t="s">
        <v>87</v>
      </c>
      <c r="E54" s="1">
        <v>3</v>
      </c>
      <c r="F54" s="1">
        <v>2</v>
      </c>
      <c r="G54" s="1">
        <v>3</v>
      </c>
      <c r="H54" s="1">
        <v>3</v>
      </c>
      <c r="I54" s="1">
        <v>3</v>
      </c>
      <c r="J54" s="1">
        <v>2</v>
      </c>
      <c r="K54" s="1">
        <v>3</v>
      </c>
      <c r="L54" s="1">
        <v>3</v>
      </c>
      <c r="M54" s="1">
        <v>2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2</v>
      </c>
      <c r="T54" s="1">
        <f>SUM(E54:S54)</f>
        <v>41</v>
      </c>
      <c r="U54" s="1">
        <f t="shared" si="11"/>
        <v>14</v>
      </c>
      <c r="V54" s="1">
        <f t="shared" si="12"/>
        <v>55</v>
      </c>
      <c r="W54" s="1">
        <f t="shared" si="13"/>
        <v>2.7</v>
      </c>
      <c r="X54" s="1">
        <f t="shared" si="14"/>
        <v>2.8</v>
      </c>
      <c r="Y54" s="1" t="str">
        <f t="shared" si="15"/>
        <v>Alta</v>
      </c>
      <c r="Z54" s="1" t="str">
        <f t="shared" si="16"/>
        <v>Baja</v>
      </c>
      <c r="AA54" s="1">
        <f t="shared" si="17"/>
        <v>2.6666666666666665</v>
      </c>
      <c r="AB54" s="1">
        <f t="shared" si="18"/>
        <v>3</v>
      </c>
      <c r="AC54" s="1">
        <f t="shared" si="19"/>
        <v>2.088888888888889</v>
      </c>
      <c r="AD54" s="1">
        <f t="shared" si="20"/>
        <v>2.25</v>
      </c>
    </row>
    <row r="55" spans="1:30" x14ac:dyDescent="0.25">
      <c r="A55" s="1" t="s">
        <v>89</v>
      </c>
      <c r="B55" s="1">
        <v>8</v>
      </c>
      <c r="C55" s="1" t="s">
        <v>36</v>
      </c>
      <c r="D55" s="1" t="s">
        <v>87</v>
      </c>
      <c r="E55" s="1">
        <v>3</v>
      </c>
      <c r="F55" s="1">
        <v>2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2</v>
      </c>
      <c r="N55" s="1">
        <v>3</v>
      </c>
      <c r="O55" s="1">
        <v>3</v>
      </c>
      <c r="P55" s="1">
        <v>3</v>
      </c>
      <c r="Q55" s="1">
        <v>2</v>
      </c>
      <c r="R55" s="1">
        <v>1</v>
      </c>
      <c r="S55" s="1">
        <v>3</v>
      </c>
      <c r="T55" s="1">
        <f>SUM(E55:S55)</f>
        <v>40</v>
      </c>
      <c r="U55" s="1">
        <f t="shared" si="11"/>
        <v>12</v>
      </c>
      <c r="V55" s="1">
        <f t="shared" si="12"/>
        <v>52</v>
      </c>
      <c r="W55" s="1">
        <f t="shared" si="13"/>
        <v>2.8</v>
      </c>
      <c r="X55" s="1">
        <f t="shared" si="14"/>
        <v>2.4</v>
      </c>
      <c r="Y55" s="1" t="str">
        <f t="shared" si="15"/>
        <v>Alta</v>
      </c>
      <c r="Z55" s="1" t="str">
        <f t="shared" si="16"/>
        <v>Baja</v>
      </c>
      <c r="AA55" s="1">
        <f t="shared" si="17"/>
        <v>2.3333333333333335</v>
      </c>
      <c r="AB55" s="1">
        <f t="shared" si="18"/>
        <v>3</v>
      </c>
      <c r="AC55" s="1">
        <f t="shared" si="19"/>
        <v>2.1111111111111112</v>
      </c>
      <c r="AD55" s="1">
        <f t="shared" si="20"/>
        <v>2.75</v>
      </c>
    </row>
    <row r="56" spans="1:30" x14ac:dyDescent="0.25">
      <c r="A56" s="1" t="s">
        <v>90</v>
      </c>
      <c r="B56" s="1">
        <v>10</v>
      </c>
      <c r="C56" s="1" t="s">
        <v>36</v>
      </c>
      <c r="D56" s="1" t="s">
        <v>87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3</v>
      </c>
      <c r="O56" s="1">
        <v>3</v>
      </c>
      <c r="P56" s="1">
        <v>3</v>
      </c>
      <c r="Q56" s="1">
        <v>3</v>
      </c>
      <c r="R56" s="1">
        <v>3</v>
      </c>
      <c r="S56" s="1">
        <v>3</v>
      </c>
      <c r="T56" s="1">
        <f>SUM(E56:S56)</f>
        <v>45</v>
      </c>
      <c r="U56" s="1">
        <f t="shared" si="11"/>
        <v>15</v>
      </c>
      <c r="V56" s="1">
        <f t="shared" si="12"/>
        <v>60</v>
      </c>
      <c r="W56" s="1">
        <f t="shared" si="13"/>
        <v>3</v>
      </c>
      <c r="X56" s="1">
        <f t="shared" si="14"/>
        <v>3</v>
      </c>
      <c r="Y56" s="1" t="str">
        <f t="shared" si="15"/>
        <v>Alta</v>
      </c>
      <c r="Z56" s="1" t="str">
        <f t="shared" si="16"/>
        <v>Baja</v>
      </c>
      <c r="AA56" s="1">
        <f t="shared" si="17"/>
        <v>3</v>
      </c>
      <c r="AB56" s="1">
        <f t="shared" si="18"/>
        <v>3</v>
      </c>
      <c r="AC56" s="1">
        <f t="shared" si="19"/>
        <v>2</v>
      </c>
      <c r="AD56" s="1">
        <f t="shared" si="20"/>
        <v>3</v>
      </c>
    </row>
    <row r="57" spans="1:30" x14ac:dyDescent="0.25">
      <c r="A57" s="1" t="s">
        <v>91</v>
      </c>
      <c r="B57" s="1">
        <v>10</v>
      </c>
      <c r="C57" s="1" t="s">
        <v>36</v>
      </c>
      <c r="D57" s="1" t="s">
        <v>87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2</v>
      </c>
      <c r="L57" s="1">
        <v>3</v>
      </c>
      <c r="M57" s="1">
        <v>3</v>
      </c>
      <c r="N57" s="1">
        <v>3</v>
      </c>
      <c r="O57" s="1">
        <v>3</v>
      </c>
      <c r="P57" s="1">
        <v>3</v>
      </c>
      <c r="Q57" s="1">
        <v>3</v>
      </c>
      <c r="R57" s="1">
        <v>3</v>
      </c>
      <c r="S57" s="1">
        <v>3</v>
      </c>
      <c r="T57" s="1">
        <f>SUM(E57:S57)</f>
        <v>44</v>
      </c>
      <c r="U57" s="1">
        <f t="shared" si="11"/>
        <v>15</v>
      </c>
      <c r="V57" s="1">
        <f t="shared" si="12"/>
        <v>59</v>
      </c>
      <c r="W57" s="1">
        <f t="shared" si="13"/>
        <v>2.9</v>
      </c>
      <c r="X57" s="1">
        <f t="shared" si="14"/>
        <v>3</v>
      </c>
      <c r="Y57" s="1" t="str">
        <f t="shared" si="15"/>
        <v>Alta</v>
      </c>
      <c r="Z57" s="1" t="str">
        <f t="shared" si="16"/>
        <v>Baja</v>
      </c>
      <c r="AA57" s="1">
        <f t="shared" si="17"/>
        <v>2.6666666666666665</v>
      </c>
      <c r="AB57" s="1">
        <f t="shared" si="18"/>
        <v>3</v>
      </c>
      <c r="AC57" s="1">
        <f t="shared" si="19"/>
        <v>2.0222222222222221</v>
      </c>
      <c r="AD57" s="1">
        <f t="shared" si="20"/>
        <v>3</v>
      </c>
    </row>
    <row r="58" spans="1:30" x14ac:dyDescent="0.25">
      <c r="A58" s="1" t="s">
        <v>92</v>
      </c>
      <c r="B58" s="1">
        <v>5</v>
      </c>
      <c r="C58" s="1" t="s">
        <v>36</v>
      </c>
      <c r="D58" s="1" t="s">
        <v>87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2</v>
      </c>
      <c r="M58" s="1">
        <v>3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3</v>
      </c>
      <c r="T58" s="1">
        <f>SUM(E58:S58)</f>
        <v>44</v>
      </c>
      <c r="U58" s="1">
        <f t="shared" si="11"/>
        <v>15</v>
      </c>
      <c r="V58" s="1">
        <f t="shared" si="12"/>
        <v>59</v>
      </c>
      <c r="W58" s="1">
        <f t="shared" si="13"/>
        <v>2.9</v>
      </c>
      <c r="X58" s="1">
        <f t="shared" si="14"/>
        <v>3</v>
      </c>
      <c r="Y58" s="1" t="str">
        <f t="shared" si="15"/>
        <v>Alta</v>
      </c>
      <c r="Z58" s="1" t="str">
        <f t="shared" si="16"/>
        <v>Baja</v>
      </c>
      <c r="AA58" s="1">
        <f t="shared" si="17"/>
        <v>3</v>
      </c>
      <c r="AB58" s="1">
        <f t="shared" si="18"/>
        <v>3</v>
      </c>
      <c r="AC58" s="1">
        <f t="shared" si="19"/>
        <v>2.0222222222222221</v>
      </c>
      <c r="AD58" s="1">
        <f t="shared" si="20"/>
        <v>3</v>
      </c>
    </row>
    <row r="59" spans="1:30" x14ac:dyDescent="0.25">
      <c r="A59" s="1" t="s">
        <v>93</v>
      </c>
      <c r="B59" s="1">
        <v>6</v>
      </c>
      <c r="C59" s="1" t="s">
        <v>36</v>
      </c>
      <c r="D59" s="1" t="s">
        <v>87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3</v>
      </c>
      <c r="S59" s="1">
        <v>3</v>
      </c>
      <c r="T59" s="1">
        <f>SUM(E59:S59)</f>
        <v>45</v>
      </c>
      <c r="U59" s="1">
        <f t="shared" si="11"/>
        <v>15</v>
      </c>
      <c r="V59" s="1">
        <f t="shared" si="12"/>
        <v>60</v>
      </c>
      <c r="W59" s="1">
        <f t="shared" si="13"/>
        <v>3</v>
      </c>
      <c r="X59" s="1">
        <f t="shared" si="14"/>
        <v>3</v>
      </c>
      <c r="Y59" s="1" t="str">
        <f t="shared" si="15"/>
        <v>Alta</v>
      </c>
      <c r="Z59" s="1" t="str">
        <f t="shared" si="16"/>
        <v>Baja</v>
      </c>
      <c r="AA59" s="1">
        <f t="shared" si="17"/>
        <v>3</v>
      </c>
      <c r="AB59" s="1">
        <f t="shared" si="18"/>
        <v>3</v>
      </c>
      <c r="AC59" s="1">
        <f t="shared" si="19"/>
        <v>2</v>
      </c>
      <c r="AD59" s="1">
        <f t="shared" si="20"/>
        <v>3</v>
      </c>
    </row>
    <row r="60" spans="1:30" x14ac:dyDescent="0.25">
      <c r="A60" s="1" t="s">
        <v>94</v>
      </c>
      <c r="B60" s="1">
        <v>5</v>
      </c>
      <c r="C60" s="1" t="s">
        <v>36</v>
      </c>
      <c r="D60" s="1" t="s">
        <v>87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2</v>
      </c>
      <c r="L60" s="1">
        <v>3</v>
      </c>
      <c r="M60" s="1">
        <v>3</v>
      </c>
      <c r="N60" s="1">
        <v>2</v>
      </c>
      <c r="O60" s="1">
        <v>3</v>
      </c>
      <c r="P60" s="1">
        <v>3</v>
      </c>
      <c r="Q60" s="1">
        <v>3</v>
      </c>
      <c r="R60" s="1">
        <v>3</v>
      </c>
      <c r="S60" s="1">
        <v>3</v>
      </c>
      <c r="T60" s="1">
        <f>SUM(E60:S60)</f>
        <v>43</v>
      </c>
      <c r="U60" s="1">
        <f t="shared" si="11"/>
        <v>15</v>
      </c>
      <c r="V60" s="1">
        <f t="shared" si="12"/>
        <v>58</v>
      </c>
      <c r="W60" s="1">
        <f t="shared" si="13"/>
        <v>2.8</v>
      </c>
      <c r="X60" s="1">
        <f t="shared" si="14"/>
        <v>3</v>
      </c>
      <c r="Y60" s="1" t="str">
        <f t="shared" si="15"/>
        <v>Alta</v>
      </c>
      <c r="Z60" s="1" t="str">
        <f t="shared" si="16"/>
        <v>Baja</v>
      </c>
      <c r="AA60" s="1">
        <f t="shared" si="17"/>
        <v>2.6666666666666665</v>
      </c>
      <c r="AB60" s="1">
        <f t="shared" si="18"/>
        <v>3</v>
      </c>
      <c r="AC60" s="1">
        <f t="shared" si="19"/>
        <v>2.0444444444444443</v>
      </c>
      <c r="AD60" s="1">
        <f t="shared" si="20"/>
        <v>2.75</v>
      </c>
    </row>
    <row r="61" spans="1:30" x14ac:dyDescent="0.25">
      <c r="A61" s="1" t="s">
        <v>95</v>
      </c>
      <c r="B61" s="1">
        <v>10</v>
      </c>
      <c r="C61" s="1" t="s">
        <v>36</v>
      </c>
      <c r="D61" s="1" t="s">
        <v>87</v>
      </c>
      <c r="E61" s="1">
        <v>2</v>
      </c>
      <c r="F61" s="1">
        <v>3</v>
      </c>
      <c r="G61" s="1">
        <v>3</v>
      </c>
      <c r="H61" s="1">
        <v>3</v>
      </c>
      <c r="I61" s="1">
        <v>3</v>
      </c>
      <c r="J61" s="1">
        <v>3</v>
      </c>
      <c r="K61" s="1">
        <v>2</v>
      </c>
      <c r="L61" s="1">
        <v>2</v>
      </c>
      <c r="M61" s="1">
        <v>2</v>
      </c>
      <c r="N61" s="1">
        <v>3</v>
      </c>
      <c r="O61" s="1">
        <v>3</v>
      </c>
      <c r="P61" s="1">
        <v>2</v>
      </c>
      <c r="Q61" s="1">
        <v>2</v>
      </c>
      <c r="R61" s="1">
        <v>3</v>
      </c>
      <c r="S61" s="1">
        <v>2</v>
      </c>
      <c r="T61" s="1">
        <f>SUM(E61:S61)</f>
        <v>38</v>
      </c>
      <c r="U61" s="1">
        <f t="shared" si="11"/>
        <v>12</v>
      </c>
      <c r="V61" s="1">
        <f t="shared" si="12"/>
        <v>50</v>
      </c>
      <c r="W61" s="1">
        <f t="shared" si="13"/>
        <v>2.6</v>
      </c>
      <c r="X61" s="1">
        <f t="shared" si="14"/>
        <v>2.4</v>
      </c>
      <c r="Y61" s="1" t="str">
        <f t="shared" si="15"/>
        <v>Alta</v>
      </c>
      <c r="Z61" s="1" t="str">
        <f t="shared" si="16"/>
        <v>Baja</v>
      </c>
      <c r="AA61" s="1">
        <f t="shared" si="17"/>
        <v>2</v>
      </c>
      <c r="AB61" s="1">
        <f t="shared" si="18"/>
        <v>2.6666666666666665</v>
      </c>
      <c r="AC61" s="1">
        <f t="shared" si="19"/>
        <v>2.1555555555555554</v>
      </c>
      <c r="AD61" s="1">
        <f t="shared" si="20"/>
        <v>2.75</v>
      </c>
    </row>
    <row r="62" spans="1:30" x14ac:dyDescent="0.25">
      <c r="T62" s="1">
        <f t="shared" ref="T34:T65" si="21">SUM(E62:N62)</f>
        <v>0</v>
      </c>
      <c r="U62" s="1">
        <f t="shared" si="11"/>
        <v>0</v>
      </c>
      <c r="V62" s="1">
        <f t="shared" si="12"/>
        <v>0</v>
      </c>
      <c r="W62" s="1" t="e">
        <f t="shared" si="13"/>
        <v>#DIV/0!</v>
      </c>
      <c r="X62" s="1" t="e">
        <f t="shared" si="14"/>
        <v>#DIV/0!</v>
      </c>
      <c r="Y62" s="1" t="str">
        <f t="shared" si="15"/>
        <v>Baja</v>
      </c>
      <c r="Z62" s="1" t="e">
        <f t="shared" si="16"/>
        <v>#DIV/0!</v>
      </c>
      <c r="AA62" s="1" t="e">
        <f t="shared" si="17"/>
        <v>#DIV/0!</v>
      </c>
      <c r="AB62" s="1" t="e">
        <f t="shared" si="18"/>
        <v>#DIV/0!</v>
      </c>
      <c r="AC62" s="1" t="e">
        <f t="shared" si="19"/>
        <v>#DIV/0!</v>
      </c>
      <c r="AD62" s="1" t="e">
        <f t="shared" si="20"/>
        <v>#DIV/0!</v>
      </c>
    </row>
    <row r="63" spans="1:30" x14ac:dyDescent="0.25">
      <c r="T63" s="1">
        <f t="shared" si="21"/>
        <v>0</v>
      </c>
      <c r="U63" s="1">
        <f t="shared" si="11"/>
        <v>0</v>
      </c>
      <c r="V63" s="1">
        <f t="shared" si="12"/>
        <v>0</v>
      </c>
      <c r="W63" s="1" t="e">
        <f t="shared" si="13"/>
        <v>#DIV/0!</v>
      </c>
      <c r="X63" s="1" t="e">
        <f t="shared" si="14"/>
        <v>#DIV/0!</v>
      </c>
      <c r="Y63" s="1" t="str">
        <f t="shared" si="15"/>
        <v>Baja</v>
      </c>
      <c r="Z63" s="1" t="e">
        <f t="shared" si="16"/>
        <v>#DIV/0!</v>
      </c>
      <c r="AA63" s="1" t="e">
        <f t="shared" si="17"/>
        <v>#DIV/0!</v>
      </c>
      <c r="AB63" s="1" t="e">
        <f t="shared" si="18"/>
        <v>#DIV/0!</v>
      </c>
      <c r="AC63" s="1" t="e">
        <f t="shared" si="19"/>
        <v>#DIV/0!</v>
      </c>
      <c r="AD63" s="1" t="e">
        <f t="shared" si="20"/>
        <v>#DIV/0!</v>
      </c>
    </row>
    <row r="64" spans="1:30" x14ac:dyDescent="0.25">
      <c r="T64" s="1">
        <f t="shared" si="21"/>
        <v>0</v>
      </c>
      <c r="U64" s="1">
        <f t="shared" si="11"/>
        <v>0</v>
      </c>
      <c r="V64" s="1">
        <f t="shared" si="12"/>
        <v>0</v>
      </c>
      <c r="W64" s="1" t="e">
        <f t="shared" si="13"/>
        <v>#DIV/0!</v>
      </c>
      <c r="X64" s="1" t="e">
        <f t="shared" si="14"/>
        <v>#DIV/0!</v>
      </c>
      <c r="Y64" s="1" t="str">
        <f t="shared" si="15"/>
        <v>Baja</v>
      </c>
      <c r="Z64" s="1" t="e">
        <f t="shared" si="16"/>
        <v>#DIV/0!</v>
      </c>
      <c r="AA64" s="1" t="e">
        <f t="shared" si="17"/>
        <v>#DIV/0!</v>
      </c>
      <c r="AB64" s="1" t="e">
        <f t="shared" si="18"/>
        <v>#DIV/0!</v>
      </c>
      <c r="AC64" s="1" t="e">
        <f t="shared" si="19"/>
        <v>#DIV/0!</v>
      </c>
      <c r="AD64" s="1" t="e">
        <f t="shared" si="20"/>
        <v>#DIV/0!</v>
      </c>
    </row>
    <row r="65" spans="20:30" x14ac:dyDescent="0.25">
      <c r="T65" s="1">
        <f t="shared" si="21"/>
        <v>0</v>
      </c>
      <c r="U65" s="1">
        <f t="shared" si="11"/>
        <v>0</v>
      </c>
      <c r="V65" s="1">
        <f t="shared" si="12"/>
        <v>0</v>
      </c>
      <c r="W65" s="1" t="e">
        <f t="shared" si="13"/>
        <v>#DIV/0!</v>
      </c>
      <c r="X65" s="1" t="e">
        <f t="shared" si="14"/>
        <v>#DIV/0!</v>
      </c>
      <c r="Y65" s="1" t="str">
        <f t="shared" si="15"/>
        <v>Baja</v>
      </c>
      <c r="Z65" s="1" t="e">
        <f t="shared" si="16"/>
        <v>#DIV/0!</v>
      </c>
      <c r="AA65" s="1" t="e">
        <f t="shared" si="17"/>
        <v>#DIV/0!</v>
      </c>
      <c r="AB65" s="1" t="e">
        <f t="shared" si="18"/>
        <v>#DIV/0!</v>
      </c>
      <c r="AC65" s="1" t="e">
        <f t="shared" si="19"/>
        <v>#DIV/0!</v>
      </c>
      <c r="AD65" s="1" t="e">
        <f t="shared" si="20"/>
        <v>#DIV/0!</v>
      </c>
    </row>
    <row r="66" spans="20:30" x14ac:dyDescent="0.25">
      <c r="T66" s="1">
        <f t="shared" ref="T66:T101" si="22">SUM(E66:N66)</f>
        <v>0</v>
      </c>
      <c r="U66" s="1">
        <f t="shared" ref="U66:U101" si="23">SUM(O66:S66)</f>
        <v>0</v>
      </c>
      <c r="V66" s="1">
        <f t="shared" ref="V66:V97" si="24">T66+U66</f>
        <v>0</v>
      </c>
      <c r="W66" s="1" t="e">
        <f t="shared" ref="W66:W101" si="25">AVERAGE(E66:N66)</f>
        <v>#DIV/0!</v>
      </c>
      <c r="X66" s="1" t="e">
        <f t="shared" ref="X66:X101" si="26">AVERAGE(O66:S66)</f>
        <v>#DIV/0!</v>
      </c>
      <c r="Y66" s="1" t="str">
        <f t="shared" ref="Y66:Y101" si="27">IF(V66&lt;=16,"Baja",IF(V66&lt;=23,"Media","Alta"))</f>
        <v>Baja</v>
      </c>
      <c r="Z66" s="1" t="e">
        <f t="shared" ref="Z66:Z101" si="28">IF(W66&lt;=8,"Baja",IF(W66&lt;=11,"Media","Alta"))</f>
        <v>#DIV/0!</v>
      </c>
      <c r="AA66" s="1" t="e">
        <f t="shared" ref="AA66:AA101" si="29">AVERAGE(K66,M66,Q66)</f>
        <v>#DIV/0!</v>
      </c>
      <c r="AB66" s="1" t="e">
        <f t="shared" ref="AB66:AB101" si="30">AVERAGE(G66,H66,P66)</f>
        <v>#DIV/0!</v>
      </c>
      <c r="AC66" s="1" t="e">
        <f t="shared" ref="AC66:AC101" si="31">3-AVERAGE(E66:N66,O66:S66)/3</f>
        <v>#DIV/0!</v>
      </c>
      <c r="AD66" s="1" t="e">
        <f t="shared" ref="AD66:AD101" si="32">AVERAGE(F66,J66,N66,S66)</f>
        <v>#DIV/0!</v>
      </c>
    </row>
    <row r="67" spans="20:30" x14ac:dyDescent="0.25">
      <c r="T67" s="1">
        <f t="shared" si="22"/>
        <v>0</v>
      </c>
      <c r="U67" s="1">
        <f t="shared" si="23"/>
        <v>0</v>
      </c>
      <c r="V67" s="1">
        <f t="shared" si="24"/>
        <v>0</v>
      </c>
      <c r="W67" s="1" t="e">
        <f t="shared" si="25"/>
        <v>#DIV/0!</v>
      </c>
      <c r="X67" s="1" t="e">
        <f t="shared" si="26"/>
        <v>#DIV/0!</v>
      </c>
      <c r="Y67" s="1" t="str">
        <f t="shared" si="27"/>
        <v>Baja</v>
      </c>
      <c r="Z67" s="1" t="e">
        <f t="shared" si="28"/>
        <v>#DIV/0!</v>
      </c>
      <c r="AA67" s="1" t="e">
        <f t="shared" si="29"/>
        <v>#DIV/0!</v>
      </c>
      <c r="AB67" s="1" t="e">
        <f t="shared" si="30"/>
        <v>#DIV/0!</v>
      </c>
      <c r="AC67" s="1" t="e">
        <f t="shared" si="31"/>
        <v>#DIV/0!</v>
      </c>
      <c r="AD67" s="1" t="e">
        <f t="shared" si="32"/>
        <v>#DIV/0!</v>
      </c>
    </row>
    <row r="68" spans="20:30" x14ac:dyDescent="0.25">
      <c r="T68" s="1">
        <f t="shared" si="22"/>
        <v>0</v>
      </c>
      <c r="U68" s="1">
        <f t="shared" si="23"/>
        <v>0</v>
      </c>
      <c r="V68" s="1">
        <f t="shared" si="24"/>
        <v>0</v>
      </c>
      <c r="W68" s="1" t="e">
        <f t="shared" si="25"/>
        <v>#DIV/0!</v>
      </c>
      <c r="X68" s="1" t="e">
        <f t="shared" si="26"/>
        <v>#DIV/0!</v>
      </c>
      <c r="Y68" s="1" t="str">
        <f t="shared" si="27"/>
        <v>Baja</v>
      </c>
      <c r="Z68" s="1" t="e">
        <f t="shared" si="28"/>
        <v>#DIV/0!</v>
      </c>
      <c r="AA68" s="1" t="e">
        <f t="shared" si="29"/>
        <v>#DIV/0!</v>
      </c>
      <c r="AB68" s="1" t="e">
        <f t="shared" si="30"/>
        <v>#DIV/0!</v>
      </c>
      <c r="AC68" s="1" t="e">
        <f t="shared" si="31"/>
        <v>#DIV/0!</v>
      </c>
      <c r="AD68" s="1" t="e">
        <f t="shared" si="32"/>
        <v>#DIV/0!</v>
      </c>
    </row>
    <row r="69" spans="20:30" x14ac:dyDescent="0.25">
      <c r="T69" s="1">
        <f t="shared" si="22"/>
        <v>0</v>
      </c>
      <c r="U69" s="1">
        <f t="shared" si="23"/>
        <v>0</v>
      </c>
      <c r="V69" s="1">
        <f t="shared" si="24"/>
        <v>0</v>
      </c>
      <c r="W69" s="1" t="e">
        <f t="shared" si="25"/>
        <v>#DIV/0!</v>
      </c>
      <c r="X69" s="1" t="e">
        <f t="shared" si="26"/>
        <v>#DIV/0!</v>
      </c>
      <c r="Y69" s="1" t="str">
        <f t="shared" si="27"/>
        <v>Baja</v>
      </c>
      <c r="Z69" s="1" t="e">
        <f t="shared" si="28"/>
        <v>#DIV/0!</v>
      </c>
      <c r="AA69" s="1" t="e">
        <f t="shared" si="29"/>
        <v>#DIV/0!</v>
      </c>
      <c r="AB69" s="1" t="e">
        <f t="shared" si="30"/>
        <v>#DIV/0!</v>
      </c>
      <c r="AC69" s="1" t="e">
        <f t="shared" si="31"/>
        <v>#DIV/0!</v>
      </c>
      <c r="AD69" s="1" t="e">
        <f t="shared" si="32"/>
        <v>#DIV/0!</v>
      </c>
    </row>
    <row r="70" spans="20:30" x14ac:dyDescent="0.25">
      <c r="T70" s="1">
        <f t="shared" si="22"/>
        <v>0</v>
      </c>
      <c r="U70" s="1">
        <f t="shared" si="23"/>
        <v>0</v>
      </c>
      <c r="V70" s="1">
        <f t="shared" si="24"/>
        <v>0</v>
      </c>
      <c r="W70" s="1" t="e">
        <f t="shared" si="25"/>
        <v>#DIV/0!</v>
      </c>
      <c r="X70" s="1" t="e">
        <f t="shared" si="26"/>
        <v>#DIV/0!</v>
      </c>
      <c r="Y70" s="1" t="str">
        <f t="shared" si="27"/>
        <v>Baja</v>
      </c>
      <c r="Z70" s="1" t="e">
        <f t="shared" si="28"/>
        <v>#DIV/0!</v>
      </c>
      <c r="AA70" s="1" t="e">
        <f t="shared" si="29"/>
        <v>#DIV/0!</v>
      </c>
      <c r="AB70" s="1" t="e">
        <f t="shared" si="30"/>
        <v>#DIV/0!</v>
      </c>
      <c r="AC70" s="1" t="e">
        <f t="shared" si="31"/>
        <v>#DIV/0!</v>
      </c>
      <c r="AD70" s="1" t="e">
        <f t="shared" si="32"/>
        <v>#DIV/0!</v>
      </c>
    </row>
    <row r="71" spans="20:30" x14ac:dyDescent="0.25">
      <c r="T71" s="1">
        <f t="shared" si="22"/>
        <v>0</v>
      </c>
      <c r="U71" s="1">
        <f t="shared" si="23"/>
        <v>0</v>
      </c>
      <c r="V71" s="1">
        <f t="shared" si="24"/>
        <v>0</v>
      </c>
      <c r="W71" s="1" t="e">
        <f t="shared" si="25"/>
        <v>#DIV/0!</v>
      </c>
      <c r="X71" s="1" t="e">
        <f t="shared" si="26"/>
        <v>#DIV/0!</v>
      </c>
      <c r="Y71" s="1" t="str">
        <f t="shared" si="27"/>
        <v>Baja</v>
      </c>
      <c r="Z71" s="1" t="e">
        <f t="shared" si="28"/>
        <v>#DIV/0!</v>
      </c>
      <c r="AA71" s="1" t="e">
        <f t="shared" si="29"/>
        <v>#DIV/0!</v>
      </c>
      <c r="AB71" s="1" t="e">
        <f t="shared" si="30"/>
        <v>#DIV/0!</v>
      </c>
      <c r="AC71" s="1" t="e">
        <f t="shared" si="31"/>
        <v>#DIV/0!</v>
      </c>
      <c r="AD71" s="1" t="e">
        <f t="shared" si="32"/>
        <v>#DIV/0!</v>
      </c>
    </row>
    <row r="72" spans="20:30" x14ac:dyDescent="0.25">
      <c r="T72" s="1">
        <f t="shared" si="22"/>
        <v>0</v>
      </c>
      <c r="U72" s="1">
        <f t="shared" si="23"/>
        <v>0</v>
      </c>
      <c r="V72" s="1">
        <f t="shared" si="24"/>
        <v>0</v>
      </c>
      <c r="W72" s="1" t="e">
        <f t="shared" si="25"/>
        <v>#DIV/0!</v>
      </c>
      <c r="X72" s="1" t="e">
        <f t="shared" si="26"/>
        <v>#DIV/0!</v>
      </c>
      <c r="Y72" s="1" t="str">
        <f t="shared" si="27"/>
        <v>Baja</v>
      </c>
      <c r="Z72" s="1" t="e">
        <f t="shared" si="28"/>
        <v>#DIV/0!</v>
      </c>
      <c r="AA72" s="1" t="e">
        <f t="shared" si="29"/>
        <v>#DIV/0!</v>
      </c>
      <c r="AB72" s="1" t="e">
        <f t="shared" si="30"/>
        <v>#DIV/0!</v>
      </c>
      <c r="AC72" s="1" t="e">
        <f t="shared" si="31"/>
        <v>#DIV/0!</v>
      </c>
      <c r="AD72" s="1" t="e">
        <f t="shared" si="32"/>
        <v>#DIV/0!</v>
      </c>
    </row>
    <row r="73" spans="20:30" x14ac:dyDescent="0.25">
      <c r="T73" s="1">
        <f t="shared" si="22"/>
        <v>0</v>
      </c>
      <c r="U73" s="1">
        <f t="shared" si="23"/>
        <v>0</v>
      </c>
      <c r="V73" s="1">
        <f t="shared" si="24"/>
        <v>0</v>
      </c>
      <c r="W73" s="1" t="e">
        <f t="shared" si="25"/>
        <v>#DIV/0!</v>
      </c>
      <c r="X73" s="1" t="e">
        <f t="shared" si="26"/>
        <v>#DIV/0!</v>
      </c>
      <c r="Y73" s="1" t="str">
        <f t="shared" si="27"/>
        <v>Baja</v>
      </c>
      <c r="Z73" s="1" t="e">
        <f t="shared" si="28"/>
        <v>#DIV/0!</v>
      </c>
      <c r="AA73" s="1" t="e">
        <f t="shared" si="29"/>
        <v>#DIV/0!</v>
      </c>
      <c r="AB73" s="1" t="e">
        <f t="shared" si="30"/>
        <v>#DIV/0!</v>
      </c>
      <c r="AC73" s="1" t="e">
        <f t="shared" si="31"/>
        <v>#DIV/0!</v>
      </c>
      <c r="AD73" s="1" t="e">
        <f t="shared" si="32"/>
        <v>#DIV/0!</v>
      </c>
    </row>
    <row r="74" spans="20:30" x14ac:dyDescent="0.25">
      <c r="T74" s="1">
        <f t="shared" si="22"/>
        <v>0</v>
      </c>
      <c r="U74" s="1">
        <f t="shared" si="23"/>
        <v>0</v>
      </c>
      <c r="V74" s="1">
        <f t="shared" si="24"/>
        <v>0</v>
      </c>
      <c r="W74" s="1" t="e">
        <f t="shared" si="25"/>
        <v>#DIV/0!</v>
      </c>
      <c r="X74" s="1" t="e">
        <f t="shared" si="26"/>
        <v>#DIV/0!</v>
      </c>
      <c r="Y74" s="1" t="str">
        <f t="shared" si="27"/>
        <v>Baja</v>
      </c>
      <c r="Z74" s="1" t="e">
        <f t="shared" si="28"/>
        <v>#DIV/0!</v>
      </c>
      <c r="AA74" s="1" t="e">
        <f t="shared" si="29"/>
        <v>#DIV/0!</v>
      </c>
      <c r="AB74" s="1" t="e">
        <f t="shared" si="30"/>
        <v>#DIV/0!</v>
      </c>
      <c r="AC74" s="1" t="e">
        <f t="shared" si="31"/>
        <v>#DIV/0!</v>
      </c>
      <c r="AD74" s="1" t="e">
        <f t="shared" si="32"/>
        <v>#DIV/0!</v>
      </c>
    </row>
    <row r="75" spans="20:30" x14ac:dyDescent="0.25">
      <c r="T75" s="1">
        <f t="shared" si="22"/>
        <v>0</v>
      </c>
      <c r="U75" s="1">
        <f t="shared" si="23"/>
        <v>0</v>
      </c>
      <c r="V75" s="1">
        <f t="shared" si="24"/>
        <v>0</v>
      </c>
      <c r="W75" s="1" t="e">
        <f t="shared" si="25"/>
        <v>#DIV/0!</v>
      </c>
      <c r="X75" s="1" t="e">
        <f t="shared" si="26"/>
        <v>#DIV/0!</v>
      </c>
      <c r="Y75" s="1" t="str">
        <f t="shared" si="27"/>
        <v>Baja</v>
      </c>
      <c r="Z75" s="1" t="e">
        <f t="shared" si="28"/>
        <v>#DIV/0!</v>
      </c>
      <c r="AA75" s="1" t="e">
        <f t="shared" si="29"/>
        <v>#DIV/0!</v>
      </c>
      <c r="AB75" s="1" t="e">
        <f t="shared" si="30"/>
        <v>#DIV/0!</v>
      </c>
      <c r="AC75" s="1" t="e">
        <f t="shared" si="31"/>
        <v>#DIV/0!</v>
      </c>
      <c r="AD75" s="1" t="e">
        <f t="shared" si="32"/>
        <v>#DIV/0!</v>
      </c>
    </row>
    <row r="76" spans="20:30" x14ac:dyDescent="0.25">
      <c r="T76" s="1">
        <f t="shared" si="22"/>
        <v>0</v>
      </c>
      <c r="U76" s="1">
        <f t="shared" si="23"/>
        <v>0</v>
      </c>
      <c r="V76" s="1">
        <f t="shared" si="24"/>
        <v>0</v>
      </c>
      <c r="W76" s="1" t="e">
        <f t="shared" si="25"/>
        <v>#DIV/0!</v>
      </c>
      <c r="X76" s="1" t="e">
        <f t="shared" si="26"/>
        <v>#DIV/0!</v>
      </c>
      <c r="Y76" s="1" t="str">
        <f t="shared" si="27"/>
        <v>Baja</v>
      </c>
      <c r="Z76" s="1" t="e">
        <f t="shared" si="28"/>
        <v>#DIV/0!</v>
      </c>
      <c r="AA76" s="1" t="e">
        <f t="shared" si="29"/>
        <v>#DIV/0!</v>
      </c>
      <c r="AB76" s="1" t="e">
        <f t="shared" si="30"/>
        <v>#DIV/0!</v>
      </c>
      <c r="AC76" s="1" t="e">
        <f t="shared" si="31"/>
        <v>#DIV/0!</v>
      </c>
      <c r="AD76" s="1" t="e">
        <f t="shared" si="32"/>
        <v>#DIV/0!</v>
      </c>
    </row>
    <row r="77" spans="20:30" x14ac:dyDescent="0.25">
      <c r="T77" s="1">
        <f t="shared" si="22"/>
        <v>0</v>
      </c>
      <c r="U77" s="1">
        <f t="shared" si="23"/>
        <v>0</v>
      </c>
      <c r="V77" s="1">
        <f t="shared" si="24"/>
        <v>0</v>
      </c>
      <c r="W77" s="1" t="e">
        <f t="shared" si="25"/>
        <v>#DIV/0!</v>
      </c>
      <c r="X77" s="1" t="e">
        <f t="shared" si="26"/>
        <v>#DIV/0!</v>
      </c>
      <c r="Y77" s="1" t="str">
        <f t="shared" si="27"/>
        <v>Baja</v>
      </c>
      <c r="Z77" s="1" t="e">
        <f t="shared" si="28"/>
        <v>#DIV/0!</v>
      </c>
      <c r="AA77" s="1" t="e">
        <f t="shared" si="29"/>
        <v>#DIV/0!</v>
      </c>
      <c r="AB77" s="1" t="e">
        <f t="shared" si="30"/>
        <v>#DIV/0!</v>
      </c>
      <c r="AC77" s="1" t="e">
        <f t="shared" si="31"/>
        <v>#DIV/0!</v>
      </c>
      <c r="AD77" s="1" t="e">
        <f t="shared" si="32"/>
        <v>#DIV/0!</v>
      </c>
    </row>
    <row r="78" spans="20:30" x14ac:dyDescent="0.25">
      <c r="T78" s="1">
        <f t="shared" si="22"/>
        <v>0</v>
      </c>
      <c r="U78" s="1">
        <f t="shared" si="23"/>
        <v>0</v>
      </c>
      <c r="V78" s="1">
        <f t="shared" si="24"/>
        <v>0</v>
      </c>
      <c r="W78" s="1" t="e">
        <f t="shared" si="25"/>
        <v>#DIV/0!</v>
      </c>
      <c r="X78" s="1" t="e">
        <f t="shared" si="26"/>
        <v>#DIV/0!</v>
      </c>
      <c r="Y78" s="1" t="str">
        <f t="shared" si="27"/>
        <v>Baja</v>
      </c>
      <c r="Z78" s="1" t="e">
        <f t="shared" si="28"/>
        <v>#DIV/0!</v>
      </c>
      <c r="AA78" s="1" t="e">
        <f t="shared" si="29"/>
        <v>#DIV/0!</v>
      </c>
      <c r="AB78" s="1" t="e">
        <f t="shared" si="30"/>
        <v>#DIV/0!</v>
      </c>
      <c r="AC78" s="1" t="e">
        <f t="shared" si="31"/>
        <v>#DIV/0!</v>
      </c>
      <c r="AD78" s="1" t="e">
        <f t="shared" si="32"/>
        <v>#DIV/0!</v>
      </c>
    </row>
    <row r="79" spans="20:30" x14ac:dyDescent="0.25">
      <c r="T79" s="1">
        <f t="shared" si="22"/>
        <v>0</v>
      </c>
      <c r="U79" s="1">
        <f t="shared" si="23"/>
        <v>0</v>
      </c>
      <c r="V79" s="1">
        <f t="shared" si="24"/>
        <v>0</v>
      </c>
      <c r="W79" s="1" t="e">
        <f t="shared" si="25"/>
        <v>#DIV/0!</v>
      </c>
      <c r="X79" s="1" t="e">
        <f t="shared" si="26"/>
        <v>#DIV/0!</v>
      </c>
      <c r="Y79" s="1" t="str">
        <f t="shared" si="27"/>
        <v>Baja</v>
      </c>
      <c r="Z79" s="1" t="e">
        <f t="shared" si="28"/>
        <v>#DIV/0!</v>
      </c>
      <c r="AA79" s="1" t="e">
        <f t="shared" si="29"/>
        <v>#DIV/0!</v>
      </c>
      <c r="AB79" s="1" t="e">
        <f t="shared" si="30"/>
        <v>#DIV/0!</v>
      </c>
      <c r="AC79" s="1" t="e">
        <f t="shared" si="31"/>
        <v>#DIV/0!</v>
      </c>
      <c r="AD79" s="1" t="e">
        <f t="shared" si="32"/>
        <v>#DIV/0!</v>
      </c>
    </row>
    <row r="80" spans="20:30" x14ac:dyDescent="0.25">
      <c r="T80" s="1">
        <f t="shared" si="22"/>
        <v>0</v>
      </c>
      <c r="U80" s="1">
        <f t="shared" si="23"/>
        <v>0</v>
      </c>
      <c r="V80" s="1">
        <f t="shared" si="24"/>
        <v>0</v>
      </c>
      <c r="W80" s="1" t="e">
        <f t="shared" si="25"/>
        <v>#DIV/0!</v>
      </c>
      <c r="X80" s="1" t="e">
        <f t="shared" si="26"/>
        <v>#DIV/0!</v>
      </c>
      <c r="Y80" s="1" t="str">
        <f t="shared" si="27"/>
        <v>Baja</v>
      </c>
      <c r="Z80" s="1" t="e">
        <f t="shared" si="28"/>
        <v>#DIV/0!</v>
      </c>
      <c r="AA80" s="1" t="e">
        <f t="shared" si="29"/>
        <v>#DIV/0!</v>
      </c>
      <c r="AB80" s="1" t="e">
        <f t="shared" si="30"/>
        <v>#DIV/0!</v>
      </c>
      <c r="AC80" s="1" t="e">
        <f t="shared" si="31"/>
        <v>#DIV/0!</v>
      </c>
      <c r="AD80" s="1" t="e">
        <f t="shared" si="32"/>
        <v>#DIV/0!</v>
      </c>
    </row>
    <row r="81" spans="20:30" x14ac:dyDescent="0.25">
      <c r="T81" s="1">
        <f t="shared" si="22"/>
        <v>0</v>
      </c>
      <c r="U81" s="1">
        <f t="shared" si="23"/>
        <v>0</v>
      </c>
      <c r="V81" s="1">
        <f t="shared" si="24"/>
        <v>0</v>
      </c>
      <c r="W81" s="1" t="e">
        <f t="shared" si="25"/>
        <v>#DIV/0!</v>
      </c>
      <c r="X81" s="1" t="e">
        <f t="shared" si="26"/>
        <v>#DIV/0!</v>
      </c>
      <c r="Y81" s="1" t="str">
        <f t="shared" si="27"/>
        <v>Baja</v>
      </c>
      <c r="Z81" s="1" t="e">
        <f t="shared" si="28"/>
        <v>#DIV/0!</v>
      </c>
      <c r="AA81" s="1" t="e">
        <f t="shared" si="29"/>
        <v>#DIV/0!</v>
      </c>
      <c r="AB81" s="1" t="e">
        <f t="shared" si="30"/>
        <v>#DIV/0!</v>
      </c>
      <c r="AC81" s="1" t="e">
        <f t="shared" si="31"/>
        <v>#DIV/0!</v>
      </c>
      <c r="AD81" s="1" t="e">
        <f t="shared" si="32"/>
        <v>#DIV/0!</v>
      </c>
    </row>
    <row r="82" spans="20:30" x14ac:dyDescent="0.25">
      <c r="T82" s="1">
        <f t="shared" si="22"/>
        <v>0</v>
      </c>
      <c r="U82" s="1">
        <f t="shared" si="23"/>
        <v>0</v>
      </c>
      <c r="V82" s="1">
        <f t="shared" si="24"/>
        <v>0</v>
      </c>
      <c r="W82" s="1" t="e">
        <f t="shared" si="25"/>
        <v>#DIV/0!</v>
      </c>
      <c r="X82" s="1" t="e">
        <f t="shared" si="26"/>
        <v>#DIV/0!</v>
      </c>
      <c r="Y82" s="1" t="str">
        <f t="shared" si="27"/>
        <v>Baja</v>
      </c>
      <c r="Z82" s="1" t="e">
        <f t="shared" si="28"/>
        <v>#DIV/0!</v>
      </c>
      <c r="AA82" s="1" t="e">
        <f t="shared" si="29"/>
        <v>#DIV/0!</v>
      </c>
      <c r="AB82" s="1" t="e">
        <f t="shared" si="30"/>
        <v>#DIV/0!</v>
      </c>
      <c r="AC82" s="1" t="e">
        <f t="shared" si="31"/>
        <v>#DIV/0!</v>
      </c>
      <c r="AD82" s="1" t="e">
        <f t="shared" si="32"/>
        <v>#DIV/0!</v>
      </c>
    </row>
    <row r="83" spans="20:30" x14ac:dyDescent="0.25">
      <c r="T83" s="1">
        <f t="shared" si="22"/>
        <v>0</v>
      </c>
      <c r="U83" s="1">
        <f t="shared" si="23"/>
        <v>0</v>
      </c>
      <c r="V83" s="1">
        <f t="shared" si="24"/>
        <v>0</v>
      </c>
      <c r="W83" s="1" t="e">
        <f t="shared" si="25"/>
        <v>#DIV/0!</v>
      </c>
      <c r="X83" s="1" t="e">
        <f t="shared" si="26"/>
        <v>#DIV/0!</v>
      </c>
      <c r="Y83" s="1" t="str">
        <f t="shared" si="27"/>
        <v>Baja</v>
      </c>
      <c r="Z83" s="1" t="e">
        <f t="shared" si="28"/>
        <v>#DIV/0!</v>
      </c>
      <c r="AA83" s="1" t="e">
        <f t="shared" si="29"/>
        <v>#DIV/0!</v>
      </c>
      <c r="AB83" s="1" t="e">
        <f t="shared" si="30"/>
        <v>#DIV/0!</v>
      </c>
      <c r="AC83" s="1" t="e">
        <f t="shared" si="31"/>
        <v>#DIV/0!</v>
      </c>
      <c r="AD83" s="1" t="e">
        <f t="shared" si="32"/>
        <v>#DIV/0!</v>
      </c>
    </row>
    <row r="84" spans="20:30" x14ac:dyDescent="0.25">
      <c r="T84" s="1">
        <f t="shared" si="22"/>
        <v>0</v>
      </c>
      <c r="U84" s="1">
        <f t="shared" si="23"/>
        <v>0</v>
      </c>
      <c r="V84" s="1">
        <f t="shared" si="24"/>
        <v>0</v>
      </c>
      <c r="W84" s="1" t="e">
        <f t="shared" si="25"/>
        <v>#DIV/0!</v>
      </c>
      <c r="X84" s="1" t="e">
        <f t="shared" si="26"/>
        <v>#DIV/0!</v>
      </c>
      <c r="Y84" s="1" t="str">
        <f t="shared" si="27"/>
        <v>Baja</v>
      </c>
      <c r="Z84" s="1" t="e">
        <f t="shared" si="28"/>
        <v>#DIV/0!</v>
      </c>
      <c r="AA84" s="1" t="e">
        <f t="shared" si="29"/>
        <v>#DIV/0!</v>
      </c>
      <c r="AB84" s="1" t="e">
        <f t="shared" si="30"/>
        <v>#DIV/0!</v>
      </c>
      <c r="AC84" s="1" t="e">
        <f t="shared" si="31"/>
        <v>#DIV/0!</v>
      </c>
      <c r="AD84" s="1" t="e">
        <f t="shared" si="32"/>
        <v>#DIV/0!</v>
      </c>
    </row>
    <row r="85" spans="20:30" x14ac:dyDescent="0.25">
      <c r="T85" s="1">
        <f t="shared" si="22"/>
        <v>0</v>
      </c>
      <c r="U85" s="1">
        <f t="shared" si="23"/>
        <v>0</v>
      </c>
      <c r="V85" s="1">
        <f t="shared" si="24"/>
        <v>0</v>
      </c>
      <c r="W85" s="1" t="e">
        <f t="shared" si="25"/>
        <v>#DIV/0!</v>
      </c>
      <c r="X85" s="1" t="e">
        <f t="shared" si="26"/>
        <v>#DIV/0!</v>
      </c>
      <c r="Y85" s="1" t="str">
        <f t="shared" si="27"/>
        <v>Baja</v>
      </c>
      <c r="Z85" s="1" t="e">
        <f t="shared" si="28"/>
        <v>#DIV/0!</v>
      </c>
      <c r="AA85" s="1" t="e">
        <f t="shared" si="29"/>
        <v>#DIV/0!</v>
      </c>
      <c r="AB85" s="1" t="e">
        <f t="shared" si="30"/>
        <v>#DIV/0!</v>
      </c>
      <c r="AC85" s="1" t="e">
        <f t="shared" si="31"/>
        <v>#DIV/0!</v>
      </c>
      <c r="AD85" s="1" t="e">
        <f t="shared" si="32"/>
        <v>#DIV/0!</v>
      </c>
    </row>
    <row r="86" spans="20:30" x14ac:dyDescent="0.25">
      <c r="T86" s="1">
        <f t="shared" si="22"/>
        <v>0</v>
      </c>
      <c r="U86" s="1">
        <f t="shared" si="23"/>
        <v>0</v>
      </c>
      <c r="V86" s="1">
        <f t="shared" si="24"/>
        <v>0</v>
      </c>
      <c r="W86" s="1" t="e">
        <f t="shared" si="25"/>
        <v>#DIV/0!</v>
      </c>
      <c r="X86" s="1" t="e">
        <f t="shared" si="26"/>
        <v>#DIV/0!</v>
      </c>
      <c r="Y86" s="1" t="str">
        <f t="shared" si="27"/>
        <v>Baja</v>
      </c>
      <c r="Z86" s="1" t="e">
        <f t="shared" si="28"/>
        <v>#DIV/0!</v>
      </c>
      <c r="AA86" s="1" t="e">
        <f t="shared" si="29"/>
        <v>#DIV/0!</v>
      </c>
      <c r="AB86" s="1" t="e">
        <f t="shared" si="30"/>
        <v>#DIV/0!</v>
      </c>
      <c r="AC86" s="1" t="e">
        <f t="shared" si="31"/>
        <v>#DIV/0!</v>
      </c>
      <c r="AD86" s="1" t="e">
        <f t="shared" si="32"/>
        <v>#DIV/0!</v>
      </c>
    </row>
    <row r="87" spans="20:30" x14ac:dyDescent="0.25">
      <c r="T87" s="1">
        <f t="shared" si="22"/>
        <v>0</v>
      </c>
      <c r="U87" s="1">
        <f t="shared" si="23"/>
        <v>0</v>
      </c>
      <c r="V87" s="1">
        <f t="shared" si="24"/>
        <v>0</v>
      </c>
      <c r="W87" s="1" t="e">
        <f t="shared" si="25"/>
        <v>#DIV/0!</v>
      </c>
      <c r="X87" s="1" t="e">
        <f t="shared" si="26"/>
        <v>#DIV/0!</v>
      </c>
      <c r="Y87" s="1" t="str">
        <f t="shared" si="27"/>
        <v>Baja</v>
      </c>
      <c r="Z87" s="1" t="e">
        <f t="shared" si="28"/>
        <v>#DIV/0!</v>
      </c>
      <c r="AA87" s="1" t="e">
        <f t="shared" si="29"/>
        <v>#DIV/0!</v>
      </c>
      <c r="AB87" s="1" t="e">
        <f t="shared" si="30"/>
        <v>#DIV/0!</v>
      </c>
      <c r="AC87" s="1" t="e">
        <f t="shared" si="31"/>
        <v>#DIV/0!</v>
      </c>
      <c r="AD87" s="1" t="e">
        <f t="shared" si="32"/>
        <v>#DIV/0!</v>
      </c>
    </row>
    <row r="88" spans="20:30" x14ac:dyDescent="0.25">
      <c r="T88" s="1">
        <f t="shared" si="22"/>
        <v>0</v>
      </c>
      <c r="U88" s="1">
        <f t="shared" si="23"/>
        <v>0</v>
      </c>
      <c r="V88" s="1">
        <f t="shared" si="24"/>
        <v>0</v>
      </c>
      <c r="W88" s="1" t="e">
        <f t="shared" si="25"/>
        <v>#DIV/0!</v>
      </c>
      <c r="X88" s="1" t="e">
        <f t="shared" si="26"/>
        <v>#DIV/0!</v>
      </c>
      <c r="Y88" s="1" t="str">
        <f t="shared" si="27"/>
        <v>Baja</v>
      </c>
      <c r="Z88" s="1" t="e">
        <f t="shared" si="28"/>
        <v>#DIV/0!</v>
      </c>
      <c r="AA88" s="1" t="e">
        <f t="shared" si="29"/>
        <v>#DIV/0!</v>
      </c>
      <c r="AB88" s="1" t="e">
        <f t="shared" si="30"/>
        <v>#DIV/0!</v>
      </c>
      <c r="AC88" s="1" t="e">
        <f t="shared" si="31"/>
        <v>#DIV/0!</v>
      </c>
      <c r="AD88" s="1" t="e">
        <f t="shared" si="32"/>
        <v>#DIV/0!</v>
      </c>
    </row>
    <row r="89" spans="20:30" x14ac:dyDescent="0.25">
      <c r="T89" s="1">
        <f t="shared" si="22"/>
        <v>0</v>
      </c>
      <c r="U89" s="1">
        <f t="shared" si="23"/>
        <v>0</v>
      </c>
      <c r="V89" s="1">
        <f t="shared" si="24"/>
        <v>0</v>
      </c>
      <c r="W89" s="1" t="e">
        <f t="shared" si="25"/>
        <v>#DIV/0!</v>
      </c>
      <c r="X89" s="1" t="e">
        <f t="shared" si="26"/>
        <v>#DIV/0!</v>
      </c>
      <c r="Y89" s="1" t="str">
        <f t="shared" si="27"/>
        <v>Baja</v>
      </c>
      <c r="Z89" s="1" t="e">
        <f t="shared" si="28"/>
        <v>#DIV/0!</v>
      </c>
      <c r="AA89" s="1" t="e">
        <f t="shared" si="29"/>
        <v>#DIV/0!</v>
      </c>
      <c r="AB89" s="1" t="e">
        <f t="shared" si="30"/>
        <v>#DIV/0!</v>
      </c>
      <c r="AC89" s="1" t="e">
        <f t="shared" si="31"/>
        <v>#DIV/0!</v>
      </c>
      <c r="AD89" s="1" t="e">
        <f t="shared" si="32"/>
        <v>#DIV/0!</v>
      </c>
    </row>
    <row r="90" spans="20:30" x14ac:dyDescent="0.25">
      <c r="T90" s="1">
        <f t="shared" si="22"/>
        <v>0</v>
      </c>
      <c r="U90" s="1">
        <f t="shared" si="23"/>
        <v>0</v>
      </c>
      <c r="V90" s="1">
        <f t="shared" si="24"/>
        <v>0</v>
      </c>
      <c r="W90" s="1" t="e">
        <f t="shared" si="25"/>
        <v>#DIV/0!</v>
      </c>
      <c r="X90" s="1" t="e">
        <f t="shared" si="26"/>
        <v>#DIV/0!</v>
      </c>
      <c r="Y90" s="1" t="str">
        <f t="shared" si="27"/>
        <v>Baja</v>
      </c>
      <c r="Z90" s="1" t="e">
        <f t="shared" si="28"/>
        <v>#DIV/0!</v>
      </c>
      <c r="AA90" s="1" t="e">
        <f t="shared" si="29"/>
        <v>#DIV/0!</v>
      </c>
      <c r="AB90" s="1" t="e">
        <f t="shared" si="30"/>
        <v>#DIV/0!</v>
      </c>
      <c r="AC90" s="1" t="e">
        <f t="shared" si="31"/>
        <v>#DIV/0!</v>
      </c>
      <c r="AD90" s="1" t="e">
        <f t="shared" si="32"/>
        <v>#DIV/0!</v>
      </c>
    </row>
    <row r="91" spans="20:30" x14ac:dyDescent="0.25">
      <c r="T91" s="1">
        <f t="shared" si="22"/>
        <v>0</v>
      </c>
      <c r="U91" s="1">
        <f t="shared" si="23"/>
        <v>0</v>
      </c>
      <c r="V91" s="1">
        <f t="shared" si="24"/>
        <v>0</v>
      </c>
      <c r="W91" s="1" t="e">
        <f t="shared" si="25"/>
        <v>#DIV/0!</v>
      </c>
      <c r="X91" s="1" t="e">
        <f t="shared" si="26"/>
        <v>#DIV/0!</v>
      </c>
      <c r="Y91" s="1" t="str">
        <f t="shared" si="27"/>
        <v>Baja</v>
      </c>
      <c r="Z91" s="1" t="e">
        <f t="shared" si="28"/>
        <v>#DIV/0!</v>
      </c>
      <c r="AA91" s="1" t="e">
        <f t="shared" si="29"/>
        <v>#DIV/0!</v>
      </c>
      <c r="AB91" s="1" t="e">
        <f t="shared" si="30"/>
        <v>#DIV/0!</v>
      </c>
      <c r="AC91" s="1" t="e">
        <f t="shared" si="31"/>
        <v>#DIV/0!</v>
      </c>
      <c r="AD91" s="1" t="e">
        <f t="shared" si="32"/>
        <v>#DIV/0!</v>
      </c>
    </row>
    <row r="92" spans="20:30" x14ac:dyDescent="0.25">
      <c r="T92" s="1">
        <f t="shared" si="22"/>
        <v>0</v>
      </c>
      <c r="U92" s="1">
        <f t="shared" si="23"/>
        <v>0</v>
      </c>
      <c r="V92" s="1">
        <f t="shared" si="24"/>
        <v>0</v>
      </c>
      <c r="W92" s="1" t="e">
        <f t="shared" si="25"/>
        <v>#DIV/0!</v>
      </c>
      <c r="X92" s="1" t="e">
        <f t="shared" si="26"/>
        <v>#DIV/0!</v>
      </c>
      <c r="Y92" s="1" t="str">
        <f t="shared" si="27"/>
        <v>Baja</v>
      </c>
      <c r="Z92" s="1" t="e">
        <f t="shared" si="28"/>
        <v>#DIV/0!</v>
      </c>
      <c r="AA92" s="1" t="e">
        <f t="shared" si="29"/>
        <v>#DIV/0!</v>
      </c>
      <c r="AB92" s="1" t="e">
        <f t="shared" si="30"/>
        <v>#DIV/0!</v>
      </c>
      <c r="AC92" s="1" t="e">
        <f t="shared" si="31"/>
        <v>#DIV/0!</v>
      </c>
      <c r="AD92" s="1" t="e">
        <f t="shared" si="32"/>
        <v>#DIV/0!</v>
      </c>
    </row>
    <row r="93" spans="20:30" x14ac:dyDescent="0.25">
      <c r="T93" s="1">
        <f t="shared" si="22"/>
        <v>0</v>
      </c>
      <c r="U93" s="1">
        <f t="shared" si="23"/>
        <v>0</v>
      </c>
      <c r="V93" s="1">
        <f t="shared" si="24"/>
        <v>0</v>
      </c>
      <c r="W93" s="1" t="e">
        <f t="shared" si="25"/>
        <v>#DIV/0!</v>
      </c>
      <c r="X93" s="1" t="e">
        <f t="shared" si="26"/>
        <v>#DIV/0!</v>
      </c>
      <c r="Y93" s="1" t="str">
        <f t="shared" si="27"/>
        <v>Baja</v>
      </c>
      <c r="Z93" s="1" t="e">
        <f t="shared" si="28"/>
        <v>#DIV/0!</v>
      </c>
      <c r="AA93" s="1" t="e">
        <f t="shared" si="29"/>
        <v>#DIV/0!</v>
      </c>
      <c r="AB93" s="1" t="e">
        <f t="shared" si="30"/>
        <v>#DIV/0!</v>
      </c>
      <c r="AC93" s="1" t="e">
        <f t="shared" si="31"/>
        <v>#DIV/0!</v>
      </c>
      <c r="AD93" s="1" t="e">
        <f t="shared" si="32"/>
        <v>#DIV/0!</v>
      </c>
    </row>
    <row r="94" spans="20:30" x14ac:dyDescent="0.25">
      <c r="T94" s="1">
        <f t="shared" si="22"/>
        <v>0</v>
      </c>
      <c r="U94" s="1">
        <f t="shared" si="23"/>
        <v>0</v>
      </c>
      <c r="V94" s="1">
        <f t="shared" si="24"/>
        <v>0</v>
      </c>
      <c r="W94" s="1" t="e">
        <f t="shared" si="25"/>
        <v>#DIV/0!</v>
      </c>
      <c r="X94" s="1" t="e">
        <f t="shared" si="26"/>
        <v>#DIV/0!</v>
      </c>
      <c r="Y94" s="1" t="str">
        <f t="shared" si="27"/>
        <v>Baja</v>
      </c>
      <c r="Z94" s="1" t="e">
        <f t="shared" si="28"/>
        <v>#DIV/0!</v>
      </c>
      <c r="AA94" s="1" t="e">
        <f t="shared" si="29"/>
        <v>#DIV/0!</v>
      </c>
      <c r="AB94" s="1" t="e">
        <f t="shared" si="30"/>
        <v>#DIV/0!</v>
      </c>
      <c r="AC94" s="1" t="e">
        <f t="shared" si="31"/>
        <v>#DIV/0!</v>
      </c>
      <c r="AD94" s="1" t="e">
        <f t="shared" si="32"/>
        <v>#DIV/0!</v>
      </c>
    </row>
    <row r="95" spans="20:30" x14ac:dyDescent="0.25">
      <c r="T95" s="1">
        <f t="shared" si="22"/>
        <v>0</v>
      </c>
      <c r="U95" s="1">
        <f t="shared" si="23"/>
        <v>0</v>
      </c>
      <c r="V95" s="1">
        <f t="shared" si="24"/>
        <v>0</v>
      </c>
      <c r="W95" s="1" t="e">
        <f t="shared" si="25"/>
        <v>#DIV/0!</v>
      </c>
      <c r="X95" s="1" t="e">
        <f t="shared" si="26"/>
        <v>#DIV/0!</v>
      </c>
      <c r="Y95" s="1" t="str">
        <f t="shared" si="27"/>
        <v>Baja</v>
      </c>
      <c r="Z95" s="1" t="e">
        <f t="shared" si="28"/>
        <v>#DIV/0!</v>
      </c>
      <c r="AA95" s="1" t="e">
        <f t="shared" si="29"/>
        <v>#DIV/0!</v>
      </c>
      <c r="AB95" s="1" t="e">
        <f t="shared" si="30"/>
        <v>#DIV/0!</v>
      </c>
      <c r="AC95" s="1" t="e">
        <f t="shared" si="31"/>
        <v>#DIV/0!</v>
      </c>
      <c r="AD95" s="1" t="e">
        <f t="shared" si="32"/>
        <v>#DIV/0!</v>
      </c>
    </row>
    <row r="96" spans="20:30" x14ac:dyDescent="0.25">
      <c r="T96" s="1">
        <f t="shared" si="22"/>
        <v>0</v>
      </c>
      <c r="U96" s="1">
        <f t="shared" si="23"/>
        <v>0</v>
      </c>
      <c r="V96" s="1">
        <f t="shared" si="24"/>
        <v>0</v>
      </c>
      <c r="W96" s="1" t="e">
        <f t="shared" si="25"/>
        <v>#DIV/0!</v>
      </c>
      <c r="X96" s="1" t="e">
        <f t="shared" si="26"/>
        <v>#DIV/0!</v>
      </c>
      <c r="Y96" s="1" t="str">
        <f t="shared" si="27"/>
        <v>Baja</v>
      </c>
      <c r="Z96" s="1" t="e">
        <f t="shared" si="28"/>
        <v>#DIV/0!</v>
      </c>
      <c r="AA96" s="1" t="e">
        <f t="shared" si="29"/>
        <v>#DIV/0!</v>
      </c>
      <c r="AB96" s="1" t="e">
        <f t="shared" si="30"/>
        <v>#DIV/0!</v>
      </c>
      <c r="AC96" s="1" t="e">
        <f t="shared" si="31"/>
        <v>#DIV/0!</v>
      </c>
      <c r="AD96" s="1" t="e">
        <f t="shared" si="32"/>
        <v>#DIV/0!</v>
      </c>
    </row>
    <row r="97" spans="20:30" x14ac:dyDescent="0.25">
      <c r="T97" s="1">
        <f t="shared" si="22"/>
        <v>0</v>
      </c>
      <c r="U97" s="1">
        <f t="shared" si="23"/>
        <v>0</v>
      </c>
      <c r="V97" s="1">
        <f t="shared" si="24"/>
        <v>0</v>
      </c>
      <c r="W97" s="1" t="e">
        <f t="shared" si="25"/>
        <v>#DIV/0!</v>
      </c>
      <c r="X97" s="1" t="e">
        <f t="shared" si="26"/>
        <v>#DIV/0!</v>
      </c>
      <c r="Y97" s="1" t="str">
        <f t="shared" si="27"/>
        <v>Baja</v>
      </c>
      <c r="Z97" s="1" t="e">
        <f t="shared" si="28"/>
        <v>#DIV/0!</v>
      </c>
      <c r="AA97" s="1" t="e">
        <f t="shared" si="29"/>
        <v>#DIV/0!</v>
      </c>
      <c r="AB97" s="1" t="e">
        <f t="shared" si="30"/>
        <v>#DIV/0!</v>
      </c>
      <c r="AC97" s="1" t="e">
        <f t="shared" si="31"/>
        <v>#DIV/0!</v>
      </c>
      <c r="AD97" s="1" t="e">
        <f t="shared" si="32"/>
        <v>#DIV/0!</v>
      </c>
    </row>
    <row r="98" spans="20:30" x14ac:dyDescent="0.25">
      <c r="T98" s="1">
        <f t="shared" si="22"/>
        <v>0</v>
      </c>
      <c r="U98" s="1">
        <f t="shared" si="23"/>
        <v>0</v>
      </c>
      <c r="V98" s="1">
        <f t="shared" ref="V98:V129" si="33">T98+U98</f>
        <v>0</v>
      </c>
      <c r="W98" s="1" t="e">
        <f t="shared" si="25"/>
        <v>#DIV/0!</v>
      </c>
      <c r="X98" s="1" t="e">
        <f t="shared" si="26"/>
        <v>#DIV/0!</v>
      </c>
      <c r="Y98" s="1" t="str">
        <f t="shared" si="27"/>
        <v>Baja</v>
      </c>
      <c r="Z98" s="1" t="e">
        <f t="shared" si="28"/>
        <v>#DIV/0!</v>
      </c>
      <c r="AA98" s="1" t="e">
        <f t="shared" si="29"/>
        <v>#DIV/0!</v>
      </c>
      <c r="AB98" s="1" t="e">
        <f t="shared" si="30"/>
        <v>#DIV/0!</v>
      </c>
      <c r="AC98" s="1" t="e">
        <f t="shared" si="31"/>
        <v>#DIV/0!</v>
      </c>
      <c r="AD98" s="1" t="e">
        <f t="shared" si="32"/>
        <v>#DIV/0!</v>
      </c>
    </row>
    <row r="99" spans="20:30" x14ac:dyDescent="0.25">
      <c r="T99" s="1">
        <f t="shared" si="22"/>
        <v>0</v>
      </c>
      <c r="U99" s="1">
        <f t="shared" si="23"/>
        <v>0</v>
      </c>
      <c r="V99" s="1">
        <f t="shared" si="33"/>
        <v>0</v>
      </c>
      <c r="W99" s="1" t="e">
        <f t="shared" si="25"/>
        <v>#DIV/0!</v>
      </c>
      <c r="X99" s="1" t="e">
        <f t="shared" si="26"/>
        <v>#DIV/0!</v>
      </c>
      <c r="Y99" s="1" t="str">
        <f t="shared" si="27"/>
        <v>Baja</v>
      </c>
      <c r="Z99" s="1" t="e">
        <f t="shared" si="28"/>
        <v>#DIV/0!</v>
      </c>
      <c r="AA99" s="1" t="e">
        <f t="shared" si="29"/>
        <v>#DIV/0!</v>
      </c>
      <c r="AB99" s="1" t="e">
        <f t="shared" si="30"/>
        <v>#DIV/0!</v>
      </c>
      <c r="AC99" s="1" t="e">
        <f t="shared" si="31"/>
        <v>#DIV/0!</v>
      </c>
      <c r="AD99" s="1" t="e">
        <f t="shared" si="32"/>
        <v>#DIV/0!</v>
      </c>
    </row>
    <row r="100" spans="20:30" x14ac:dyDescent="0.25">
      <c r="T100" s="1">
        <f t="shared" si="22"/>
        <v>0</v>
      </c>
      <c r="U100" s="1">
        <f t="shared" si="23"/>
        <v>0</v>
      </c>
      <c r="V100" s="1">
        <f t="shared" si="33"/>
        <v>0</v>
      </c>
      <c r="W100" s="1" t="e">
        <f t="shared" si="25"/>
        <v>#DIV/0!</v>
      </c>
      <c r="X100" s="1" t="e">
        <f t="shared" si="26"/>
        <v>#DIV/0!</v>
      </c>
      <c r="Y100" s="1" t="str">
        <f t="shared" si="27"/>
        <v>Baja</v>
      </c>
      <c r="Z100" s="1" t="e">
        <f t="shared" si="28"/>
        <v>#DIV/0!</v>
      </c>
      <c r="AA100" s="1" t="e">
        <f t="shared" si="29"/>
        <v>#DIV/0!</v>
      </c>
      <c r="AB100" s="1" t="e">
        <f t="shared" si="30"/>
        <v>#DIV/0!</v>
      </c>
      <c r="AC100" s="1" t="e">
        <f t="shared" si="31"/>
        <v>#DIV/0!</v>
      </c>
      <c r="AD100" s="1" t="e">
        <f t="shared" si="32"/>
        <v>#DIV/0!</v>
      </c>
    </row>
    <row r="101" spans="20:30" x14ac:dyDescent="0.25">
      <c r="T101" s="1">
        <f t="shared" si="22"/>
        <v>0</v>
      </c>
      <c r="U101" s="1">
        <f t="shared" si="23"/>
        <v>0</v>
      </c>
      <c r="V101" s="1">
        <f t="shared" si="33"/>
        <v>0</v>
      </c>
      <c r="W101" s="1" t="e">
        <f t="shared" si="25"/>
        <v>#DIV/0!</v>
      </c>
      <c r="X101" s="1" t="e">
        <f t="shared" si="26"/>
        <v>#DIV/0!</v>
      </c>
      <c r="Y101" s="1" t="str">
        <f t="shared" si="27"/>
        <v>Baja</v>
      </c>
      <c r="Z101" s="1" t="e">
        <f t="shared" si="28"/>
        <v>#DIV/0!</v>
      </c>
      <c r="AA101" s="1" t="e">
        <f t="shared" si="29"/>
        <v>#DIV/0!</v>
      </c>
      <c r="AB101" s="1" t="e">
        <f t="shared" si="30"/>
        <v>#DIV/0!</v>
      </c>
      <c r="AC101" s="1" t="e">
        <f t="shared" si="31"/>
        <v>#DIV/0!</v>
      </c>
      <c r="AD101" s="1" t="e">
        <f t="shared" si="32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Valoración infantil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Tecno Office 6.1</cp:lastModifiedBy>
  <dcterms:created xsi:type="dcterms:W3CDTF">2026-04-06T14:31:22Z</dcterms:created>
  <dcterms:modified xsi:type="dcterms:W3CDTF">2026-04-06T16:30:38Z</dcterms:modified>
</cp:coreProperties>
</file>